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julian/Library/CloudStorage/OneDrive-Aarhusuniversitet/AU/Research/Modeling/Frac/wax 2/model/METCUT_v1/data/reference/"/>
    </mc:Choice>
  </mc:AlternateContent>
  <xr:revisionPtr revIDLastSave="0" documentId="8_{BFB25AC1-0903-224A-A7F2-6966CCE44498}" xr6:coauthVersionLast="47" xr6:coauthVersionMax="47" xr10:uidLastSave="{00000000-0000-0000-0000-000000000000}"/>
  <bookViews>
    <workbookView xWindow="780" yWindow="680" windowWidth="21280" windowHeight="18960" firstSheet="5" activeTab="5" xr2:uid="{00000000-000D-0000-FFFF-FFFF00000000}"/>
  </bookViews>
  <sheets>
    <sheet name="Summary" sheetId="1" r:id="rId1"/>
    <sheet name="Gao2014_Samples" sheetId="2" r:id="rId2"/>
    <sheet name="Tipple2015_Treatments" sheetId="3" r:id="rId3"/>
    <sheet name="Literature_Targets" sheetId="4" r:id="rId4"/>
    <sheet name="Study_Registry" sheetId="5" r:id="rId5"/>
    <sheet name="Data_Dictionary" sheetId="7" r:id="rId6"/>
    <sheet name="Liu2016_Segmented" sheetId="8" r:id="rId7"/>
    <sheet name="Liu2016_WholeLeaf" sheetId="9" r:id="rId8"/>
    <sheet name="Tipple2021_PANGAEA" sheetId="10" r:id="rId9"/>
    <sheet name="Ardenghi2024_Epsilon" sheetId="11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3" l="1"/>
  <c r="Q25" i="3" s="1"/>
  <c r="N25" i="3"/>
  <c r="P25" i="3" s="1"/>
  <c r="O24" i="3"/>
  <c r="Q24" i="3" s="1"/>
  <c r="N24" i="3"/>
  <c r="P24" i="3" s="1"/>
  <c r="O23" i="3"/>
  <c r="Q23" i="3" s="1"/>
  <c r="N23" i="3"/>
  <c r="P23" i="3" s="1"/>
  <c r="O22" i="3"/>
  <c r="Q22" i="3" s="1"/>
  <c r="N22" i="3"/>
  <c r="P22" i="3" s="1"/>
  <c r="O21" i="3"/>
  <c r="Q21" i="3" s="1"/>
  <c r="N21" i="3"/>
  <c r="P21" i="3" s="1"/>
  <c r="O20" i="3"/>
  <c r="Q20" i="3" s="1"/>
  <c r="N20" i="3"/>
  <c r="P20" i="3" s="1"/>
  <c r="O19" i="3"/>
  <c r="Q19" i="3" s="1"/>
  <c r="N19" i="3"/>
  <c r="P19" i="3" s="1"/>
  <c r="O18" i="3"/>
  <c r="Q18" i="3" s="1"/>
  <c r="N18" i="3"/>
  <c r="P18" i="3" s="1"/>
  <c r="O17" i="3"/>
  <c r="Q17" i="3" s="1"/>
  <c r="N17" i="3"/>
  <c r="P17" i="3" s="1"/>
  <c r="O16" i="3"/>
  <c r="Q16" i="3" s="1"/>
  <c r="N16" i="3"/>
  <c r="P16" i="3" s="1"/>
  <c r="O15" i="3"/>
  <c r="Q15" i="3" s="1"/>
  <c r="N15" i="3"/>
  <c r="P15" i="3" s="1"/>
  <c r="O14" i="3"/>
  <c r="Q14" i="3" s="1"/>
  <c r="N14" i="3"/>
  <c r="P14" i="3" s="1"/>
  <c r="O13" i="3"/>
  <c r="Q13" i="3" s="1"/>
  <c r="N13" i="3"/>
  <c r="P13" i="3" s="1"/>
  <c r="O12" i="3"/>
  <c r="Q12" i="3" s="1"/>
  <c r="N12" i="3"/>
  <c r="P12" i="3" s="1"/>
  <c r="O11" i="3"/>
  <c r="Q11" i="3" s="1"/>
  <c r="N11" i="3"/>
  <c r="P11" i="3" s="1"/>
  <c r="O10" i="3"/>
  <c r="Q10" i="3" s="1"/>
  <c r="N10" i="3"/>
  <c r="P10" i="3" s="1"/>
  <c r="O9" i="3"/>
  <c r="Q9" i="3" s="1"/>
  <c r="N9" i="3"/>
  <c r="P9" i="3" s="1"/>
  <c r="O8" i="3"/>
  <c r="Q8" i="3" s="1"/>
  <c r="N8" i="3"/>
  <c r="P8" i="3" s="1"/>
  <c r="P7" i="3"/>
  <c r="O7" i="3"/>
  <c r="Q7" i="3" s="1"/>
  <c r="N7" i="3"/>
  <c r="O6" i="3"/>
  <c r="Q6" i="3" s="1"/>
  <c r="N6" i="3"/>
  <c r="P6" i="3" s="1"/>
  <c r="P5" i="3"/>
  <c r="O5" i="3"/>
  <c r="Q5" i="3" s="1"/>
  <c r="N5" i="3"/>
  <c r="O4" i="3"/>
  <c r="Q4" i="3" s="1"/>
  <c r="N4" i="3"/>
  <c r="P4" i="3" s="1"/>
  <c r="O3" i="3"/>
  <c r="Q3" i="3" s="1"/>
  <c r="N3" i="3"/>
  <c r="P3" i="3" s="1"/>
  <c r="O2" i="3"/>
  <c r="Q2" i="3" s="1"/>
  <c r="N2" i="3"/>
  <c r="P2" i="3" s="1"/>
  <c r="Z103" i="2"/>
  <c r="Y103" i="2"/>
  <c r="X103" i="2"/>
  <c r="W103" i="2"/>
  <c r="V103" i="2"/>
  <c r="U103" i="2"/>
  <c r="T103" i="2"/>
  <c r="S103" i="2"/>
  <c r="R103" i="2"/>
  <c r="Q103" i="2"/>
  <c r="P103" i="2"/>
  <c r="Z102" i="2"/>
  <c r="Y102" i="2"/>
  <c r="X102" i="2"/>
  <c r="W102" i="2"/>
  <c r="V102" i="2"/>
  <c r="U102" i="2"/>
  <c r="T102" i="2"/>
  <c r="S102" i="2"/>
  <c r="R102" i="2"/>
  <c r="Q102" i="2"/>
  <c r="P102" i="2"/>
  <c r="Z101" i="2"/>
  <c r="Y101" i="2"/>
  <c r="X101" i="2"/>
  <c r="W101" i="2"/>
  <c r="V101" i="2"/>
  <c r="U101" i="2"/>
  <c r="T101" i="2"/>
  <c r="S101" i="2"/>
  <c r="R101" i="2"/>
  <c r="Q101" i="2"/>
  <c r="P101" i="2"/>
  <c r="Z100" i="2"/>
  <c r="Y100" i="2"/>
  <c r="X100" i="2"/>
  <c r="W100" i="2"/>
  <c r="V100" i="2"/>
  <c r="U100" i="2"/>
  <c r="T100" i="2"/>
  <c r="S100" i="2"/>
  <c r="R100" i="2"/>
  <c r="Q100" i="2"/>
  <c r="P100" i="2"/>
  <c r="Z99" i="2"/>
  <c r="Y99" i="2"/>
  <c r="X99" i="2"/>
  <c r="W99" i="2"/>
  <c r="V99" i="2"/>
  <c r="U99" i="2"/>
  <c r="T99" i="2"/>
  <c r="S99" i="2"/>
  <c r="R99" i="2"/>
  <c r="Q99" i="2"/>
  <c r="P99" i="2"/>
  <c r="Z98" i="2"/>
  <c r="Y98" i="2"/>
  <c r="X98" i="2"/>
  <c r="W98" i="2"/>
  <c r="V98" i="2"/>
  <c r="U98" i="2"/>
  <c r="T98" i="2"/>
  <c r="S98" i="2"/>
  <c r="R98" i="2"/>
  <c r="Q98" i="2"/>
  <c r="P98" i="2"/>
  <c r="Z97" i="2"/>
  <c r="Y97" i="2"/>
  <c r="X97" i="2"/>
  <c r="W97" i="2"/>
  <c r="V97" i="2"/>
  <c r="U97" i="2"/>
  <c r="T97" i="2"/>
  <c r="S97" i="2"/>
  <c r="R97" i="2"/>
  <c r="Q97" i="2"/>
  <c r="P97" i="2"/>
  <c r="Z96" i="2"/>
  <c r="Y96" i="2"/>
  <c r="X96" i="2"/>
  <c r="W96" i="2"/>
  <c r="V96" i="2"/>
  <c r="U96" i="2"/>
  <c r="T96" i="2"/>
  <c r="S96" i="2"/>
  <c r="R96" i="2"/>
  <c r="Q96" i="2"/>
  <c r="P96" i="2"/>
  <c r="Z95" i="2"/>
  <c r="Y95" i="2"/>
  <c r="X95" i="2"/>
  <c r="W95" i="2"/>
  <c r="V95" i="2"/>
  <c r="U95" i="2"/>
  <c r="T95" i="2"/>
  <c r="S95" i="2"/>
  <c r="R95" i="2"/>
  <c r="Q95" i="2"/>
  <c r="P95" i="2"/>
  <c r="Z94" i="2"/>
  <c r="Y94" i="2"/>
  <c r="X94" i="2"/>
  <c r="W94" i="2"/>
  <c r="V94" i="2"/>
  <c r="U94" i="2"/>
  <c r="T94" i="2"/>
  <c r="S94" i="2"/>
  <c r="R94" i="2"/>
  <c r="Q94" i="2"/>
  <c r="P94" i="2"/>
  <c r="Z93" i="2"/>
  <c r="Y93" i="2"/>
  <c r="X93" i="2"/>
  <c r="W93" i="2"/>
  <c r="V93" i="2"/>
  <c r="U93" i="2"/>
  <c r="T93" i="2"/>
  <c r="S93" i="2"/>
  <c r="R93" i="2"/>
  <c r="Q93" i="2"/>
  <c r="P93" i="2"/>
  <c r="Z92" i="2"/>
  <c r="Y92" i="2"/>
  <c r="X92" i="2"/>
  <c r="W92" i="2"/>
  <c r="V92" i="2"/>
  <c r="U92" i="2"/>
  <c r="T92" i="2"/>
  <c r="S92" i="2"/>
  <c r="R92" i="2"/>
  <c r="Q92" i="2"/>
  <c r="P92" i="2"/>
  <c r="Z91" i="2"/>
  <c r="Y91" i="2"/>
  <c r="X91" i="2"/>
  <c r="W91" i="2"/>
  <c r="V91" i="2"/>
  <c r="U91" i="2"/>
  <c r="T91" i="2"/>
  <c r="S91" i="2"/>
  <c r="R91" i="2"/>
  <c r="Q91" i="2"/>
  <c r="P91" i="2"/>
  <c r="Z90" i="2"/>
  <c r="Y90" i="2"/>
  <c r="X90" i="2"/>
  <c r="W90" i="2"/>
  <c r="V90" i="2"/>
  <c r="U90" i="2"/>
  <c r="T90" i="2"/>
  <c r="S90" i="2"/>
  <c r="R90" i="2"/>
  <c r="Q90" i="2"/>
  <c r="P90" i="2"/>
  <c r="Z89" i="2"/>
  <c r="Y89" i="2"/>
  <c r="X89" i="2"/>
  <c r="W89" i="2"/>
  <c r="V89" i="2"/>
  <c r="U89" i="2"/>
  <c r="T89" i="2"/>
  <c r="S89" i="2"/>
  <c r="R89" i="2"/>
  <c r="Q89" i="2"/>
  <c r="P89" i="2"/>
  <c r="Z88" i="2"/>
  <c r="Y88" i="2"/>
  <c r="X88" i="2"/>
  <c r="W88" i="2"/>
  <c r="V88" i="2"/>
  <c r="U88" i="2"/>
  <c r="T88" i="2"/>
  <c r="S88" i="2"/>
  <c r="R88" i="2"/>
  <c r="Q88" i="2"/>
  <c r="P88" i="2"/>
  <c r="Z87" i="2"/>
  <c r="Y87" i="2"/>
  <c r="X87" i="2"/>
  <c r="W87" i="2"/>
  <c r="V87" i="2"/>
  <c r="U87" i="2"/>
  <c r="T87" i="2"/>
  <c r="S87" i="2"/>
  <c r="R87" i="2"/>
  <c r="Q87" i="2"/>
  <c r="P87" i="2"/>
  <c r="Z86" i="2"/>
  <c r="Y86" i="2"/>
  <c r="X86" i="2"/>
  <c r="W86" i="2"/>
  <c r="V86" i="2"/>
  <c r="U86" i="2"/>
  <c r="T86" i="2"/>
  <c r="S86" i="2"/>
  <c r="R86" i="2"/>
  <c r="Q86" i="2"/>
  <c r="P86" i="2"/>
  <c r="Z85" i="2"/>
  <c r="Y85" i="2"/>
  <c r="X85" i="2"/>
  <c r="W85" i="2"/>
  <c r="V85" i="2"/>
  <c r="U85" i="2"/>
  <c r="T85" i="2"/>
  <c r="S85" i="2"/>
  <c r="R85" i="2"/>
  <c r="Q85" i="2"/>
  <c r="P85" i="2"/>
  <c r="Z84" i="2"/>
  <c r="Y84" i="2"/>
  <c r="X84" i="2"/>
  <c r="W84" i="2"/>
  <c r="V84" i="2"/>
  <c r="U84" i="2"/>
  <c r="T84" i="2"/>
  <c r="S84" i="2"/>
  <c r="R84" i="2"/>
  <c r="Q84" i="2"/>
  <c r="P84" i="2"/>
  <c r="Z83" i="2"/>
  <c r="Y83" i="2"/>
  <c r="X83" i="2"/>
  <c r="W83" i="2"/>
  <c r="V83" i="2"/>
  <c r="U83" i="2"/>
  <c r="T83" i="2"/>
  <c r="S83" i="2"/>
  <c r="R83" i="2"/>
  <c r="Q83" i="2"/>
  <c r="P83" i="2"/>
  <c r="Z82" i="2"/>
  <c r="Y82" i="2"/>
  <c r="X82" i="2"/>
  <c r="W82" i="2"/>
  <c r="V82" i="2"/>
  <c r="U82" i="2"/>
  <c r="T82" i="2"/>
  <c r="S82" i="2"/>
  <c r="R82" i="2"/>
  <c r="Q82" i="2"/>
  <c r="P82" i="2"/>
  <c r="Z81" i="2"/>
  <c r="Y81" i="2"/>
  <c r="X81" i="2"/>
  <c r="W81" i="2"/>
  <c r="V81" i="2"/>
  <c r="U81" i="2"/>
  <c r="T81" i="2"/>
  <c r="S81" i="2"/>
  <c r="R81" i="2"/>
  <c r="Q81" i="2"/>
  <c r="P81" i="2"/>
  <c r="Z80" i="2"/>
  <c r="Y80" i="2"/>
  <c r="X80" i="2"/>
  <c r="W80" i="2"/>
  <c r="V80" i="2"/>
  <c r="U80" i="2"/>
  <c r="T80" i="2"/>
  <c r="S80" i="2"/>
  <c r="R80" i="2"/>
  <c r="Q80" i="2"/>
  <c r="P80" i="2"/>
  <c r="Z79" i="2"/>
  <c r="Y79" i="2"/>
  <c r="X79" i="2"/>
  <c r="W79" i="2"/>
  <c r="V79" i="2"/>
  <c r="U79" i="2"/>
  <c r="T79" i="2"/>
  <c r="S79" i="2"/>
  <c r="R79" i="2"/>
  <c r="Q79" i="2"/>
  <c r="P79" i="2"/>
  <c r="Z78" i="2"/>
  <c r="Y78" i="2"/>
  <c r="X78" i="2"/>
  <c r="W78" i="2"/>
  <c r="V78" i="2"/>
  <c r="U78" i="2"/>
  <c r="T78" i="2"/>
  <c r="S78" i="2"/>
  <c r="R78" i="2"/>
  <c r="Q78" i="2"/>
  <c r="P78" i="2"/>
  <c r="Z77" i="2"/>
  <c r="Y77" i="2"/>
  <c r="X77" i="2"/>
  <c r="W77" i="2"/>
  <c r="V77" i="2"/>
  <c r="U77" i="2"/>
  <c r="T77" i="2"/>
  <c r="S77" i="2"/>
  <c r="R77" i="2"/>
  <c r="Q77" i="2"/>
  <c r="P77" i="2"/>
  <c r="Z76" i="2"/>
  <c r="Y76" i="2"/>
  <c r="X76" i="2"/>
  <c r="W76" i="2"/>
  <c r="V76" i="2"/>
  <c r="U76" i="2"/>
  <c r="T76" i="2"/>
  <c r="S76" i="2"/>
  <c r="R76" i="2"/>
  <c r="Q76" i="2"/>
  <c r="P76" i="2"/>
  <c r="Z75" i="2"/>
  <c r="Y75" i="2"/>
  <c r="X75" i="2"/>
  <c r="W75" i="2"/>
  <c r="V75" i="2"/>
  <c r="U75" i="2"/>
  <c r="T75" i="2"/>
  <c r="S75" i="2"/>
  <c r="R75" i="2"/>
  <c r="Q75" i="2"/>
  <c r="P75" i="2"/>
  <c r="Z74" i="2"/>
  <c r="Y74" i="2"/>
  <c r="X74" i="2"/>
  <c r="W74" i="2"/>
  <c r="V74" i="2"/>
  <c r="U74" i="2"/>
  <c r="T74" i="2"/>
  <c r="S74" i="2"/>
  <c r="R74" i="2"/>
  <c r="Q74" i="2"/>
  <c r="P74" i="2"/>
  <c r="Z73" i="2"/>
  <c r="Y73" i="2"/>
  <c r="X73" i="2"/>
  <c r="W73" i="2"/>
  <c r="V73" i="2"/>
  <c r="U73" i="2"/>
  <c r="T73" i="2"/>
  <c r="S73" i="2"/>
  <c r="R73" i="2"/>
  <c r="Q73" i="2"/>
  <c r="P73" i="2"/>
  <c r="Z72" i="2"/>
  <c r="Y72" i="2"/>
  <c r="X72" i="2"/>
  <c r="W72" i="2"/>
  <c r="V72" i="2"/>
  <c r="U72" i="2"/>
  <c r="T72" i="2"/>
  <c r="S72" i="2"/>
  <c r="R72" i="2"/>
  <c r="Q72" i="2"/>
  <c r="P72" i="2"/>
  <c r="Z71" i="2"/>
  <c r="Y71" i="2"/>
  <c r="X71" i="2"/>
  <c r="W71" i="2"/>
  <c r="V71" i="2"/>
  <c r="U71" i="2"/>
  <c r="T71" i="2"/>
  <c r="S71" i="2"/>
  <c r="R71" i="2"/>
  <c r="Q71" i="2"/>
  <c r="P71" i="2"/>
  <c r="Z70" i="2"/>
  <c r="Y70" i="2"/>
  <c r="X70" i="2"/>
  <c r="W70" i="2"/>
  <c r="V70" i="2"/>
  <c r="U70" i="2"/>
  <c r="T70" i="2"/>
  <c r="S70" i="2"/>
  <c r="R70" i="2"/>
  <c r="Q70" i="2"/>
  <c r="P70" i="2"/>
  <c r="Z69" i="2"/>
  <c r="Y69" i="2"/>
  <c r="X69" i="2"/>
  <c r="W69" i="2"/>
  <c r="V69" i="2"/>
  <c r="U69" i="2"/>
  <c r="T69" i="2"/>
  <c r="S69" i="2"/>
  <c r="R69" i="2"/>
  <c r="Q69" i="2"/>
  <c r="P69" i="2"/>
  <c r="Z68" i="2"/>
  <c r="Y68" i="2"/>
  <c r="X68" i="2"/>
  <c r="W68" i="2"/>
  <c r="V68" i="2"/>
  <c r="U68" i="2"/>
  <c r="T68" i="2"/>
  <c r="S68" i="2"/>
  <c r="R68" i="2"/>
  <c r="Q68" i="2"/>
  <c r="P68" i="2"/>
  <c r="Z67" i="2"/>
  <c r="Y67" i="2"/>
  <c r="X67" i="2"/>
  <c r="W67" i="2"/>
  <c r="V67" i="2"/>
  <c r="U67" i="2"/>
  <c r="T67" i="2"/>
  <c r="S67" i="2"/>
  <c r="R67" i="2"/>
  <c r="Q67" i="2"/>
  <c r="P67" i="2"/>
  <c r="Z66" i="2"/>
  <c r="Y66" i="2"/>
  <c r="X66" i="2"/>
  <c r="W66" i="2"/>
  <c r="V66" i="2"/>
  <c r="U66" i="2"/>
  <c r="T66" i="2"/>
  <c r="S66" i="2"/>
  <c r="R66" i="2"/>
  <c r="Q66" i="2"/>
  <c r="P66" i="2"/>
  <c r="Z65" i="2"/>
  <c r="Y65" i="2"/>
  <c r="X65" i="2"/>
  <c r="W65" i="2"/>
  <c r="V65" i="2"/>
  <c r="U65" i="2"/>
  <c r="T65" i="2"/>
  <c r="S65" i="2"/>
  <c r="R65" i="2"/>
  <c r="Q65" i="2"/>
  <c r="P65" i="2"/>
  <c r="Z64" i="2"/>
  <c r="Y64" i="2"/>
  <c r="X64" i="2"/>
  <c r="W64" i="2"/>
  <c r="V64" i="2"/>
  <c r="U64" i="2"/>
  <c r="T64" i="2"/>
  <c r="S64" i="2"/>
  <c r="R64" i="2"/>
  <c r="Q64" i="2"/>
  <c r="P64" i="2"/>
  <c r="Z63" i="2"/>
  <c r="Y63" i="2"/>
  <c r="X63" i="2"/>
  <c r="W63" i="2"/>
  <c r="V63" i="2"/>
  <c r="U63" i="2"/>
  <c r="T63" i="2"/>
  <c r="S63" i="2"/>
  <c r="R63" i="2"/>
  <c r="Q63" i="2"/>
  <c r="P63" i="2"/>
  <c r="Z62" i="2"/>
  <c r="Y62" i="2"/>
  <c r="X62" i="2"/>
  <c r="W62" i="2"/>
  <c r="V62" i="2"/>
  <c r="U62" i="2"/>
  <c r="T62" i="2"/>
  <c r="S62" i="2"/>
  <c r="R62" i="2"/>
  <c r="Q62" i="2"/>
  <c r="P62" i="2"/>
  <c r="Z61" i="2"/>
  <c r="Y61" i="2"/>
  <c r="X61" i="2"/>
  <c r="W61" i="2"/>
  <c r="V61" i="2"/>
  <c r="U61" i="2"/>
  <c r="T61" i="2"/>
  <c r="S61" i="2"/>
  <c r="R61" i="2"/>
  <c r="Q61" i="2"/>
  <c r="P61" i="2"/>
  <c r="Z60" i="2"/>
  <c r="Y60" i="2"/>
  <c r="X60" i="2"/>
  <c r="W60" i="2"/>
  <c r="V60" i="2"/>
  <c r="U60" i="2"/>
  <c r="T60" i="2"/>
  <c r="S60" i="2"/>
  <c r="R60" i="2"/>
  <c r="Q60" i="2"/>
  <c r="P60" i="2"/>
  <c r="Z59" i="2"/>
  <c r="Y59" i="2"/>
  <c r="X59" i="2"/>
  <c r="W59" i="2"/>
  <c r="V59" i="2"/>
  <c r="U59" i="2"/>
  <c r="T59" i="2"/>
  <c r="S59" i="2"/>
  <c r="R59" i="2"/>
  <c r="Q59" i="2"/>
  <c r="P59" i="2"/>
  <c r="Z58" i="2"/>
  <c r="Y58" i="2"/>
  <c r="X58" i="2"/>
  <c r="W58" i="2"/>
  <c r="V58" i="2"/>
  <c r="U58" i="2"/>
  <c r="T58" i="2"/>
  <c r="S58" i="2"/>
  <c r="R58" i="2"/>
  <c r="Q58" i="2"/>
  <c r="P58" i="2"/>
  <c r="Z57" i="2"/>
  <c r="Y57" i="2"/>
  <c r="X57" i="2"/>
  <c r="W57" i="2"/>
  <c r="V57" i="2"/>
  <c r="U57" i="2"/>
  <c r="T57" i="2"/>
  <c r="S57" i="2"/>
  <c r="R57" i="2"/>
  <c r="Q57" i="2"/>
  <c r="P57" i="2"/>
  <c r="Z56" i="2"/>
  <c r="Y56" i="2"/>
  <c r="X56" i="2"/>
  <c r="W56" i="2"/>
  <c r="V56" i="2"/>
  <c r="U56" i="2"/>
  <c r="T56" i="2"/>
  <c r="S56" i="2"/>
  <c r="R56" i="2"/>
  <c r="Q56" i="2"/>
  <c r="P56" i="2"/>
  <c r="Z55" i="2"/>
  <c r="Y55" i="2"/>
  <c r="X55" i="2"/>
  <c r="W55" i="2"/>
  <c r="V55" i="2"/>
  <c r="U55" i="2"/>
  <c r="T55" i="2"/>
  <c r="S55" i="2"/>
  <c r="R55" i="2"/>
  <c r="Q55" i="2"/>
  <c r="P55" i="2"/>
  <c r="Z54" i="2"/>
  <c r="Y54" i="2"/>
  <c r="X54" i="2"/>
  <c r="W54" i="2"/>
  <c r="V54" i="2"/>
  <c r="U54" i="2"/>
  <c r="T54" i="2"/>
  <c r="S54" i="2"/>
  <c r="R54" i="2"/>
  <c r="Q54" i="2"/>
  <c r="P54" i="2"/>
  <c r="Z53" i="2"/>
  <c r="Y53" i="2"/>
  <c r="X53" i="2"/>
  <c r="W53" i="2"/>
  <c r="V53" i="2"/>
  <c r="U53" i="2"/>
  <c r="T53" i="2"/>
  <c r="S53" i="2"/>
  <c r="R53" i="2"/>
  <c r="Q53" i="2"/>
  <c r="P53" i="2"/>
  <c r="Z52" i="2"/>
  <c r="Y52" i="2"/>
  <c r="X52" i="2"/>
  <c r="W52" i="2"/>
  <c r="V52" i="2"/>
  <c r="U52" i="2"/>
  <c r="T52" i="2"/>
  <c r="S52" i="2"/>
  <c r="R52" i="2"/>
  <c r="Q52" i="2"/>
  <c r="P52" i="2"/>
  <c r="Z51" i="2"/>
  <c r="Y51" i="2"/>
  <c r="X51" i="2"/>
  <c r="W51" i="2"/>
  <c r="V51" i="2"/>
  <c r="U51" i="2"/>
  <c r="T51" i="2"/>
  <c r="S51" i="2"/>
  <c r="R51" i="2"/>
  <c r="Q51" i="2"/>
  <c r="P51" i="2"/>
  <c r="Z50" i="2"/>
  <c r="Y50" i="2"/>
  <c r="X50" i="2"/>
  <c r="W50" i="2"/>
  <c r="V50" i="2"/>
  <c r="U50" i="2"/>
  <c r="T50" i="2"/>
  <c r="S50" i="2"/>
  <c r="R50" i="2"/>
  <c r="Q50" i="2"/>
  <c r="P50" i="2"/>
  <c r="Z49" i="2"/>
  <c r="Y49" i="2"/>
  <c r="X49" i="2"/>
  <c r="W49" i="2"/>
  <c r="V49" i="2"/>
  <c r="U49" i="2"/>
  <c r="T49" i="2"/>
  <c r="S49" i="2"/>
  <c r="R49" i="2"/>
  <c r="Q49" i="2"/>
  <c r="P49" i="2"/>
  <c r="Z48" i="2"/>
  <c r="Y48" i="2"/>
  <c r="X48" i="2"/>
  <c r="W48" i="2"/>
  <c r="V48" i="2"/>
  <c r="U48" i="2"/>
  <c r="T48" i="2"/>
  <c r="S48" i="2"/>
  <c r="R48" i="2"/>
  <c r="Q48" i="2"/>
  <c r="P48" i="2"/>
  <c r="Z47" i="2"/>
  <c r="Y47" i="2"/>
  <c r="X47" i="2"/>
  <c r="W47" i="2"/>
  <c r="V47" i="2"/>
  <c r="U47" i="2"/>
  <c r="T47" i="2"/>
  <c r="S47" i="2"/>
  <c r="R47" i="2"/>
  <c r="Q47" i="2"/>
  <c r="P47" i="2"/>
  <c r="Z46" i="2"/>
  <c r="Y46" i="2"/>
  <c r="X46" i="2"/>
  <c r="W46" i="2"/>
  <c r="V46" i="2"/>
  <c r="U46" i="2"/>
  <c r="T46" i="2"/>
  <c r="S46" i="2"/>
  <c r="R46" i="2"/>
  <c r="Q46" i="2"/>
  <c r="P46" i="2"/>
  <c r="Z45" i="2"/>
  <c r="Y45" i="2"/>
  <c r="X45" i="2"/>
  <c r="W45" i="2"/>
  <c r="V45" i="2"/>
  <c r="U45" i="2"/>
  <c r="T45" i="2"/>
  <c r="S45" i="2"/>
  <c r="R45" i="2"/>
  <c r="Q45" i="2"/>
  <c r="P45" i="2"/>
  <c r="Z44" i="2"/>
  <c r="Y44" i="2"/>
  <c r="X44" i="2"/>
  <c r="W44" i="2"/>
  <c r="V44" i="2"/>
  <c r="U44" i="2"/>
  <c r="T44" i="2"/>
  <c r="S44" i="2"/>
  <c r="R44" i="2"/>
  <c r="Q44" i="2"/>
  <c r="P44" i="2"/>
  <c r="Z43" i="2"/>
  <c r="Y43" i="2"/>
  <c r="X43" i="2"/>
  <c r="W43" i="2"/>
  <c r="V43" i="2"/>
  <c r="U43" i="2"/>
  <c r="T43" i="2"/>
  <c r="S43" i="2"/>
  <c r="R43" i="2"/>
  <c r="Q43" i="2"/>
  <c r="P43" i="2"/>
  <c r="Z42" i="2"/>
  <c r="Y42" i="2"/>
  <c r="X42" i="2"/>
  <c r="W42" i="2"/>
  <c r="V42" i="2"/>
  <c r="U42" i="2"/>
  <c r="T42" i="2"/>
  <c r="S42" i="2"/>
  <c r="R42" i="2"/>
  <c r="Q42" i="2"/>
  <c r="P42" i="2"/>
  <c r="Z41" i="2"/>
  <c r="Y41" i="2"/>
  <c r="X41" i="2"/>
  <c r="W41" i="2"/>
  <c r="V41" i="2"/>
  <c r="U41" i="2"/>
  <c r="T41" i="2"/>
  <c r="S41" i="2"/>
  <c r="R41" i="2"/>
  <c r="Q41" i="2"/>
  <c r="P41" i="2"/>
  <c r="Z40" i="2"/>
  <c r="Y40" i="2"/>
  <c r="X40" i="2"/>
  <c r="W40" i="2"/>
  <c r="V40" i="2"/>
  <c r="U40" i="2"/>
  <c r="T40" i="2"/>
  <c r="S40" i="2"/>
  <c r="R40" i="2"/>
  <c r="Q40" i="2"/>
  <c r="P40" i="2"/>
  <c r="Z39" i="2"/>
  <c r="Y39" i="2"/>
  <c r="X39" i="2"/>
  <c r="W39" i="2"/>
  <c r="V39" i="2"/>
  <c r="U39" i="2"/>
  <c r="T39" i="2"/>
  <c r="S39" i="2"/>
  <c r="R39" i="2"/>
  <c r="Q39" i="2"/>
  <c r="P39" i="2"/>
  <c r="Z38" i="2"/>
  <c r="Y38" i="2"/>
  <c r="X38" i="2"/>
  <c r="W38" i="2"/>
  <c r="V38" i="2"/>
  <c r="U38" i="2"/>
  <c r="T38" i="2"/>
  <c r="S38" i="2"/>
  <c r="R38" i="2"/>
  <c r="Q38" i="2"/>
  <c r="P38" i="2"/>
  <c r="Z37" i="2"/>
  <c r="Y37" i="2"/>
  <c r="X37" i="2"/>
  <c r="W37" i="2"/>
  <c r="V37" i="2"/>
  <c r="U37" i="2"/>
  <c r="T37" i="2"/>
  <c r="S37" i="2"/>
  <c r="R37" i="2"/>
  <c r="Q37" i="2"/>
  <c r="P37" i="2"/>
  <c r="Z36" i="2"/>
  <c r="Y36" i="2"/>
  <c r="X36" i="2"/>
  <c r="W36" i="2"/>
  <c r="V36" i="2"/>
  <c r="U36" i="2"/>
  <c r="T36" i="2"/>
  <c r="S36" i="2"/>
  <c r="R36" i="2"/>
  <c r="Q36" i="2"/>
  <c r="P36" i="2"/>
  <c r="Z35" i="2"/>
  <c r="Y35" i="2"/>
  <c r="X35" i="2"/>
  <c r="W35" i="2"/>
  <c r="V35" i="2"/>
  <c r="U35" i="2"/>
  <c r="T35" i="2"/>
  <c r="S35" i="2"/>
  <c r="R35" i="2"/>
  <c r="Q35" i="2"/>
  <c r="P35" i="2"/>
  <c r="Z34" i="2"/>
  <c r="Y34" i="2"/>
  <c r="X34" i="2"/>
  <c r="W34" i="2"/>
  <c r="V34" i="2"/>
  <c r="U34" i="2"/>
  <c r="T34" i="2"/>
  <c r="S34" i="2"/>
  <c r="R34" i="2"/>
  <c r="Q34" i="2"/>
  <c r="P34" i="2"/>
  <c r="Z33" i="2"/>
  <c r="Y33" i="2"/>
  <c r="X33" i="2"/>
  <c r="W33" i="2"/>
  <c r="V33" i="2"/>
  <c r="U33" i="2"/>
  <c r="T33" i="2"/>
  <c r="S33" i="2"/>
  <c r="R33" i="2"/>
  <c r="Q33" i="2"/>
  <c r="P33" i="2"/>
  <c r="Z32" i="2"/>
  <c r="Y32" i="2"/>
  <c r="X32" i="2"/>
  <c r="W32" i="2"/>
  <c r="V32" i="2"/>
  <c r="U32" i="2"/>
  <c r="T32" i="2"/>
  <c r="S32" i="2"/>
  <c r="R32" i="2"/>
  <c r="Q32" i="2"/>
  <c r="P32" i="2"/>
  <c r="Z31" i="2"/>
  <c r="Y31" i="2"/>
  <c r="X31" i="2"/>
  <c r="W31" i="2"/>
  <c r="V31" i="2"/>
  <c r="U31" i="2"/>
  <c r="T31" i="2"/>
  <c r="S31" i="2"/>
  <c r="R31" i="2"/>
  <c r="Q31" i="2"/>
  <c r="P31" i="2"/>
  <c r="Z30" i="2"/>
  <c r="Y30" i="2"/>
  <c r="X30" i="2"/>
  <c r="W30" i="2"/>
  <c r="V30" i="2"/>
  <c r="U30" i="2"/>
  <c r="T30" i="2"/>
  <c r="S30" i="2"/>
  <c r="R30" i="2"/>
  <c r="Q30" i="2"/>
  <c r="P30" i="2"/>
  <c r="Z29" i="2"/>
  <c r="Y29" i="2"/>
  <c r="X29" i="2"/>
  <c r="W29" i="2"/>
  <c r="V29" i="2"/>
  <c r="U29" i="2"/>
  <c r="T29" i="2"/>
  <c r="S29" i="2"/>
  <c r="R29" i="2"/>
  <c r="Q29" i="2"/>
  <c r="P29" i="2"/>
  <c r="Z28" i="2"/>
  <c r="Y28" i="2"/>
  <c r="X28" i="2"/>
  <c r="W28" i="2"/>
  <c r="V28" i="2"/>
  <c r="U28" i="2"/>
  <c r="T28" i="2"/>
  <c r="S28" i="2"/>
  <c r="R28" i="2"/>
  <c r="Q28" i="2"/>
  <c r="P28" i="2"/>
  <c r="Z27" i="2"/>
  <c r="Y27" i="2"/>
  <c r="X27" i="2"/>
  <c r="W27" i="2"/>
  <c r="V27" i="2"/>
  <c r="U27" i="2"/>
  <c r="T27" i="2"/>
  <c r="S27" i="2"/>
  <c r="R27" i="2"/>
  <c r="Q27" i="2"/>
  <c r="P27" i="2"/>
  <c r="Z26" i="2"/>
  <c r="Y26" i="2"/>
  <c r="X26" i="2"/>
  <c r="W26" i="2"/>
  <c r="V26" i="2"/>
  <c r="U26" i="2"/>
  <c r="T26" i="2"/>
  <c r="S26" i="2"/>
  <c r="R26" i="2"/>
  <c r="Q26" i="2"/>
  <c r="P26" i="2"/>
  <c r="Z25" i="2"/>
  <c r="Y25" i="2"/>
  <c r="X25" i="2"/>
  <c r="W25" i="2"/>
  <c r="V25" i="2"/>
  <c r="U25" i="2"/>
  <c r="T25" i="2"/>
  <c r="S25" i="2"/>
  <c r="R25" i="2"/>
  <c r="Q25" i="2"/>
  <c r="P25" i="2"/>
  <c r="Z24" i="2"/>
  <c r="Y24" i="2"/>
  <c r="X24" i="2"/>
  <c r="W24" i="2"/>
  <c r="V24" i="2"/>
  <c r="U24" i="2"/>
  <c r="T24" i="2"/>
  <c r="S24" i="2"/>
  <c r="R24" i="2"/>
  <c r="Q24" i="2"/>
  <c r="P24" i="2"/>
  <c r="Z23" i="2"/>
  <c r="Y23" i="2"/>
  <c r="X23" i="2"/>
  <c r="W23" i="2"/>
  <c r="V23" i="2"/>
  <c r="U23" i="2"/>
  <c r="T23" i="2"/>
  <c r="S23" i="2"/>
  <c r="R23" i="2"/>
  <c r="Q23" i="2"/>
  <c r="P23" i="2"/>
  <c r="Z22" i="2"/>
  <c r="Y22" i="2"/>
  <c r="X22" i="2"/>
  <c r="W22" i="2"/>
  <c r="V22" i="2"/>
  <c r="U22" i="2"/>
  <c r="T22" i="2"/>
  <c r="S22" i="2"/>
  <c r="R22" i="2"/>
  <c r="Q22" i="2"/>
  <c r="P22" i="2"/>
  <c r="Z21" i="2"/>
  <c r="Y21" i="2"/>
  <c r="X21" i="2"/>
  <c r="W21" i="2"/>
  <c r="V21" i="2"/>
  <c r="U21" i="2"/>
  <c r="T21" i="2"/>
  <c r="S21" i="2"/>
  <c r="R21" i="2"/>
  <c r="Q21" i="2"/>
  <c r="P21" i="2"/>
  <c r="Z20" i="2"/>
  <c r="Y20" i="2"/>
  <c r="X20" i="2"/>
  <c r="W20" i="2"/>
  <c r="V20" i="2"/>
  <c r="U20" i="2"/>
  <c r="T20" i="2"/>
  <c r="S20" i="2"/>
  <c r="R20" i="2"/>
  <c r="Q20" i="2"/>
  <c r="P20" i="2"/>
  <c r="Z19" i="2"/>
  <c r="Y19" i="2"/>
  <c r="X19" i="2"/>
  <c r="W19" i="2"/>
  <c r="V19" i="2"/>
  <c r="U19" i="2"/>
  <c r="T19" i="2"/>
  <c r="S19" i="2"/>
  <c r="R19" i="2"/>
  <c r="Q19" i="2"/>
  <c r="P19" i="2"/>
  <c r="Z18" i="2"/>
  <c r="Y18" i="2"/>
  <c r="X18" i="2"/>
  <c r="W18" i="2"/>
  <c r="V18" i="2"/>
  <c r="U18" i="2"/>
  <c r="T18" i="2"/>
  <c r="S18" i="2"/>
  <c r="R18" i="2"/>
  <c r="Q18" i="2"/>
  <c r="P18" i="2"/>
  <c r="Z17" i="2"/>
  <c r="Y17" i="2"/>
  <c r="X17" i="2"/>
  <c r="W17" i="2"/>
  <c r="V17" i="2"/>
  <c r="U17" i="2"/>
  <c r="T17" i="2"/>
  <c r="S17" i="2"/>
  <c r="R17" i="2"/>
  <c r="Q17" i="2"/>
  <c r="P17" i="2"/>
  <c r="Z16" i="2"/>
  <c r="Y16" i="2"/>
  <c r="X16" i="2"/>
  <c r="W16" i="2"/>
  <c r="V16" i="2"/>
  <c r="U16" i="2"/>
  <c r="T16" i="2"/>
  <c r="S16" i="2"/>
  <c r="R16" i="2"/>
  <c r="Q16" i="2"/>
  <c r="P16" i="2"/>
  <c r="Z15" i="2"/>
  <c r="Y15" i="2"/>
  <c r="X15" i="2"/>
  <c r="W15" i="2"/>
  <c r="V15" i="2"/>
  <c r="U15" i="2"/>
  <c r="T15" i="2"/>
  <c r="S15" i="2"/>
  <c r="R15" i="2"/>
  <c r="Q15" i="2"/>
  <c r="P15" i="2"/>
  <c r="Z14" i="2"/>
  <c r="Y14" i="2"/>
  <c r="X14" i="2"/>
  <c r="W14" i="2"/>
  <c r="V14" i="2"/>
  <c r="U14" i="2"/>
  <c r="T14" i="2"/>
  <c r="S14" i="2"/>
  <c r="R14" i="2"/>
  <c r="Q14" i="2"/>
  <c r="P14" i="2"/>
  <c r="Z13" i="2"/>
  <c r="Y13" i="2"/>
  <c r="X13" i="2"/>
  <c r="W13" i="2"/>
  <c r="V13" i="2"/>
  <c r="U13" i="2"/>
  <c r="T13" i="2"/>
  <c r="S13" i="2"/>
  <c r="R13" i="2"/>
  <c r="Q13" i="2"/>
  <c r="P13" i="2"/>
  <c r="Z12" i="2"/>
  <c r="Y12" i="2"/>
  <c r="X12" i="2"/>
  <c r="W12" i="2"/>
  <c r="V12" i="2"/>
  <c r="U12" i="2"/>
  <c r="T12" i="2"/>
  <c r="S12" i="2"/>
  <c r="R12" i="2"/>
  <c r="Q12" i="2"/>
  <c r="P12" i="2"/>
  <c r="Z11" i="2"/>
  <c r="Y11" i="2"/>
  <c r="X11" i="2"/>
  <c r="W11" i="2"/>
  <c r="V11" i="2"/>
  <c r="U11" i="2"/>
  <c r="T11" i="2"/>
  <c r="S11" i="2"/>
  <c r="R11" i="2"/>
  <c r="Q11" i="2"/>
  <c r="P11" i="2"/>
  <c r="Z10" i="2"/>
  <c r="Y10" i="2"/>
  <c r="X10" i="2"/>
  <c r="W10" i="2"/>
  <c r="V10" i="2"/>
  <c r="U10" i="2"/>
  <c r="T10" i="2"/>
  <c r="S10" i="2"/>
  <c r="R10" i="2"/>
  <c r="Q10" i="2"/>
  <c r="P10" i="2"/>
  <c r="Z9" i="2"/>
  <c r="Y9" i="2"/>
  <c r="X9" i="2"/>
  <c r="W9" i="2"/>
  <c r="V9" i="2"/>
  <c r="U9" i="2"/>
  <c r="T9" i="2"/>
  <c r="S9" i="2"/>
  <c r="R9" i="2"/>
  <c r="Q9" i="2"/>
  <c r="P9" i="2"/>
  <c r="Z8" i="2"/>
  <c r="Y8" i="2"/>
  <c r="X8" i="2"/>
  <c r="W8" i="2"/>
  <c r="V8" i="2"/>
  <c r="U8" i="2"/>
  <c r="T8" i="2"/>
  <c r="S8" i="2"/>
  <c r="R8" i="2"/>
  <c r="Q8" i="2"/>
  <c r="P8" i="2"/>
  <c r="Z7" i="2"/>
  <c r="Y7" i="2"/>
  <c r="X7" i="2"/>
  <c r="W7" i="2"/>
  <c r="V7" i="2"/>
  <c r="U7" i="2"/>
  <c r="T7" i="2"/>
  <c r="S7" i="2"/>
  <c r="R7" i="2"/>
  <c r="Q7" i="2"/>
  <c r="P7" i="2"/>
  <c r="Z6" i="2"/>
  <c r="Y6" i="2"/>
  <c r="X6" i="2"/>
  <c r="W6" i="2"/>
  <c r="V6" i="2"/>
  <c r="U6" i="2"/>
  <c r="T6" i="2"/>
  <c r="S6" i="2"/>
  <c r="R6" i="2"/>
  <c r="Q6" i="2"/>
  <c r="P6" i="2"/>
  <c r="Z5" i="2"/>
  <c r="Y5" i="2"/>
  <c r="X5" i="2"/>
  <c r="W5" i="2"/>
  <c r="V5" i="2"/>
  <c r="U5" i="2"/>
  <c r="T5" i="2"/>
  <c r="S5" i="2"/>
  <c r="R5" i="2"/>
  <c r="Q5" i="2"/>
  <c r="P5" i="2"/>
  <c r="Z4" i="2"/>
  <c r="Y4" i="2"/>
  <c r="X4" i="2"/>
  <c r="W4" i="2"/>
  <c r="V4" i="2"/>
  <c r="U4" i="2"/>
  <c r="T4" i="2"/>
  <c r="S4" i="2"/>
  <c r="R4" i="2"/>
  <c r="Q4" i="2"/>
  <c r="P4" i="2"/>
  <c r="Z3" i="2"/>
  <c r="Y3" i="2"/>
  <c r="X3" i="2"/>
  <c r="W3" i="2"/>
  <c r="V3" i="2"/>
  <c r="U3" i="2"/>
  <c r="T3" i="2"/>
  <c r="S3" i="2"/>
  <c r="R3" i="2"/>
  <c r="Q3" i="2"/>
  <c r="P3" i="2"/>
  <c r="Z2" i="2"/>
  <c r="Y2" i="2"/>
  <c r="X2" i="2"/>
  <c r="W2" i="2"/>
  <c r="V2" i="2"/>
  <c r="U2" i="2"/>
  <c r="T2" i="2"/>
  <c r="S2" i="2"/>
  <c r="R2" i="2"/>
  <c r="Q2" i="2"/>
  <c r="P2" i="2"/>
  <c r="B11" i="1"/>
  <c r="B10" i="1"/>
  <c r="B8" i="1"/>
  <c r="B7" i="1"/>
  <c r="B6" i="1"/>
  <c r="B5" i="1"/>
  <c r="B4" i="1"/>
  <c r="B9" i="1" l="1"/>
</calcChain>
</file>

<file path=xl/sharedStrings.xml><?xml version="1.0" encoding="utf-8"?>
<sst xmlns="http://schemas.openxmlformats.org/spreadsheetml/2006/main" count="2589" uniqueCount="749">
  <si>
    <t>Value</t>
  </si>
  <si>
    <t>Gao 2014 common-garden rows</t>
  </si>
  <si>
    <t>Observation type</t>
  </si>
  <si>
    <t>Model constraint</t>
  </si>
  <si>
    <t>Tipple 2015 controlled-treatment rows</t>
  </si>
  <si>
    <t>Direct leaf water → wax ε</t>
  </si>
  <si>
    <t>Tipple2015; Liu2016</t>
  </si>
  <si>
    <t>Absolute biosynthetic fractionation</t>
  </si>
  <si>
    <t>Liu 2016 segmented-leaf rows</t>
  </si>
  <si>
    <t>C27–C33 homolog spacing</t>
  </si>
  <si>
    <t>Gao2014; Tipple2021_PANGAEA</t>
  </si>
  <si>
    <t>ER vs plastid reaction/source weighting</t>
  </si>
  <si>
    <t>Liu 2016 whole-leaf rows</t>
  </si>
  <si>
    <t>Species variance, common environment</t>
  </si>
  <si>
    <t>Gao2014</t>
  </si>
  <si>
    <t>Hierarchical biochemical prior variance</t>
  </si>
  <si>
    <t>Tipple 2021 PANGAEA plant rows</t>
  </si>
  <si>
    <t>Metabolic perturbation</t>
  </si>
  <si>
    <t>Source-state/reaction physiological modulation</t>
  </si>
  <si>
    <t>Field source/xylem → wax ε</t>
  </si>
  <si>
    <t>Gao2014; Feakins2016 pending</t>
  </si>
  <si>
    <t>Leaf + biosynthesis apparent fractionation</t>
  </si>
  <si>
    <t>Ardenghi 2024 aggregate species-season rows</t>
  </si>
  <si>
    <t>MAP → wax ε</t>
  </si>
  <si>
    <t>Ardenghi2024</t>
  </si>
  <si>
    <t>Whole-model apparent fractionation</t>
  </si>
  <si>
    <t>Studies in registry</t>
  </si>
  <si>
    <t>Wax formation timing</t>
  </si>
  <si>
    <t>Tipple2013; Sachse2010</t>
  </si>
  <si>
    <t>Production/turnover integration</t>
  </si>
  <si>
    <t>Study_ID</t>
  </si>
  <si>
    <t>Sample_ID</t>
  </si>
  <si>
    <t>Lineage</t>
  </si>
  <si>
    <t>Scientific_Name</t>
  </si>
  <si>
    <t>Growth_Form</t>
  </si>
  <si>
    <t>C24_n_acid_dD_permil</t>
  </si>
  <si>
    <t>C26_n_acid_dD_permil</t>
  </si>
  <si>
    <t>C28_n_acid_dD_permil</t>
  </si>
  <si>
    <t>C30_n_acid_dD_permil</t>
  </si>
  <si>
    <t>C27_n_alkane_dD_permil</t>
  </si>
  <si>
    <t>C29_n_alkane_dD_permil</t>
  </si>
  <si>
    <t>C31_n_alkane_dD_permil</t>
  </si>
  <si>
    <t>LeafWater_dD_permil</t>
  </si>
  <si>
    <t>XylemWater_dD_permil</t>
  </si>
  <si>
    <t>EnvironmentalWater_dD_permil</t>
  </si>
  <si>
    <t>Eps_C27_vs_Xylem_permil</t>
  </si>
  <si>
    <t>Eps_C29_vs_Xylem_permil</t>
  </si>
  <si>
    <t>Eps_C31_vs_Xylem_permil</t>
  </si>
  <si>
    <t>Eps_C27_vs_LeafWater_permil</t>
  </si>
  <si>
    <t>Eps_C29_vs_LeafWater_permil</t>
  </si>
  <si>
    <t>Eps_C31_vs_LeafWater_permil</t>
  </si>
  <si>
    <t>Eps_C27_vs_EnvWater_permil</t>
  </si>
  <si>
    <t>Eps_C29_vs_EnvWater_permil</t>
  </si>
  <si>
    <t>Eps_C31_vs_EnvWater_permil</t>
  </si>
  <si>
    <t>C29_minus_C27_permil</t>
  </si>
  <si>
    <t>C31_minus_C29_permil</t>
  </si>
  <si>
    <t>DOI</t>
  </si>
  <si>
    <t>Source_URL</t>
  </si>
  <si>
    <t>Supplement_URL</t>
  </si>
  <si>
    <t>sp1</t>
  </si>
  <si>
    <t>Lycop</t>
  </si>
  <si>
    <t>Selaginella moellendorffii</t>
  </si>
  <si>
    <t>F/H</t>
  </si>
  <si>
    <t>10.1371/journal.pone.0112610</t>
  </si>
  <si>
    <t>https://journals.plos.org/plosone/article?id=10.1371/journal.pone.0112610</t>
  </si>
  <si>
    <t>https://doi.org/10.1371/journal.pone.0112610.s008</t>
  </si>
  <si>
    <t>sp2</t>
  </si>
  <si>
    <t>Selaginella huehuetenangensis</t>
  </si>
  <si>
    <t>sp3</t>
  </si>
  <si>
    <t>Selaginella schiedeana</t>
  </si>
  <si>
    <t>sp4</t>
  </si>
  <si>
    <t>Selaginella kraussiana</t>
  </si>
  <si>
    <t>sp5</t>
  </si>
  <si>
    <t>Huperzia squarrosa</t>
  </si>
  <si>
    <t>sp6</t>
  </si>
  <si>
    <t>Huperzia sp.</t>
  </si>
  <si>
    <t>sp7</t>
  </si>
  <si>
    <t>Selaginella mosorongensis</t>
  </si>
  <si>
    <t>sp8</t>
  </si>
  <si>
    <t>Selaginella mickelii</t>
  </si>
  <si>
    <t>sp9</t>
  </si>
  <si>
    <t>Selaginella galeottii</t>
  </si>
  <si>
    <t>sp10</t>
  </si>
  <si>
    <t>Selaginella brauniii</t>
  </si>
  <si>
    <t>sp11</t>
  </si>
  <si>
    <t>Fern</t>
  </si>
  <si>
    <t>Dicksonia antartica</t>
  </si>
  <si>
    <t>Tree</t>
  </si>
  <si>
    <t>sp12</t>
  </si>
  <si>
    <t>Alsophila firma</t>
  </si>
  <si>
    <t>sp13</t>
  </si>
  <si>
    <t>Matteuccia struthiopteris</t>
  </si>
  <si>
    <t>sp14</t>
  </si>
  <si>
    <t>Adiantum pedatum</t>
  </si>
  <si>
    <t>sp15</t>
  </si>
  <si>
    <t>Fern*</t>
  </si>
  <si>
    <t>Marattia attenuata</t>
  </si>
  <si>
    <t>sp16</t>
  </si>
  <si>
    <t>Dennstaedtia globulifera</t>
  </si>
  <si>
    <t>sp17</t>
  </si>
  <si>
    <t>Asplenium formosanum</t>
  </si>
  <si>
    <t>sp18</t>
  </si>
  <si>
    <t>Thelypteris sp.</t>
  </si>
  <si>
    <t>sp19</t>
  </si>
  <si>
    <t>Blechnum glandulosum</t>
  </si>
  <si>
    <t>sp20</t>
  </si>
  <si>
    <t>Arachniodes amabilis</t>
  </si>
  <si>
    <t>sp21</t>
  </si>
  <si>
    <t>Arthropteris articulata</t>
  </si>
  <si>
    <t>sp22</t>
  </si>
  <si>
    <t>Bolbitis portoricensis</t>
  </si>
  <si>
    <t>sp23</t>
  </si>
  <si>
    <t>Campyloneurum angustifolium</t>
  </si>
  <si>
    <t>sp24</t>
  </si>
  <si>
    <t>Tectaria zeylanica</t>
  </si>
  <si>
    <t>sp25</t>
  </si>
  <si>
    <t>Osmunda regalis</t>
  </si>
  <si>
    <t>sp26</t>
  </si>
  <si>
    <t>Osmundastrum cinnamomeum</t>
  </si>
  <si>
    <t>sp27</t>
  </si>
  <si>
    <t>Sphaeropteris horrida</t>
  </si>
  <si>
    <t>sp28</t>
  </si>
  <si>
    <t>Davallia fejeensis 'Plumosa'</t>
  </si>
  <si>
    <t>sp29</t>
  </si>
  <si>
    <t>Davallia trichomanoides</t>
  </si>
  <si>
    <t>sp30</t>
  </si>
  <si>
    <t>Gymn</t>
  </si>
  <si>
    <t>Taxodium distichum</t>
  </si>
  <si>
    <t>sp31</t>
  </si>
  <si>
    <t>Abies homolepis</t>
  </si>
  <si>
    <t>sp32</t>
  </si>
  <si>
    <t>Metasequoia glyptostroboides</t>
  </si>
  <si>
    <t>sp33</t>
  </si>
  <si>
    <t>Picea orientalis</t>
  </si>
  <si>
    <t>sp34</t>
  </si>
  <si>
    <t>Ginkgo biloba</t>
  </si>
  <si>
    <t>sp35</t>
  </si>
  <si>
    <t>Ephedra gerardiana</t>
  </si>
  <si>
    <t>Shrub</t>
  </si>
  <si>
    <t>sp36</t>
  </si>
  <si>
    <t>Pinus parviflora</t>
  </si>
  <si>
    <t>sp37</t>
  </si>
  <si>
    <t>Eudic</t>
  </si>
  <si>
    <t>Bougainvillea 'Tahitian Dawn'</t>
  </si>
  <si>
    <t>CV</t>
  </si>
  <si>
    <t>sp38</t>
  </si>
  <si>
    <t>Amsonia tabernaemontana</t>
  </si>
  <si>
    <t>sp39</t>
  </si>
  <si>
    <t>Galium odoratum</t>
  </si>
  <si>
    <t>sp40</t>
  </si>
  <si>
    <t>Salvia transsylvanica</t>
  </si>
  <si>
    <t>sp41</t>
  </si>
  <si>
    <t>Nicotiana mutabilis</t>
  </si>
  <si>
    <t>sp42</t>
  </si>
  <si>
    <t>Rudbeckia maxima</t>
  </si>
  <si>
    <t>sp43</t>
  </si>
  <si>
    <t>Euphorbia collorata</t>
  </si>
  <si>
    <t>sp44</t>
  </si>
  <si>
    <t>Baptisia australis</t>
  </si>
  <si>
    <t>sp45</t>
  </si>
  <si>
    <t>Sanguisorba obtusa</t>
  </si>
  <si>
    <t>sp46</t>
  </si>
  <si>
    <t>Geranium 'Brookside'</t>
  </si>
  <si>
    <t>sp47</t>
  </si>
  <si>
    <t>Paeonia 'Lovebirds'</t>
  </si>
  <si>
    <t>sp48</t>
  </si>
  <si>
    <t>Dicentra spectabilis</t>
  </si>
  <si>
    <t>sp50</t>
  </si>
  <si>
    <t>Rodgersia podophylla</t>
  </si>
  <si>
    <t>sp51</t>
  </si>
  <si>
    <t>Genipa americana</t>
  </si>
  <si>
    <t>sp52</t>
  </si>
  <si>
    <t>Nyssa sylvatica</t>
  </si>
  <si>
    <t>sp53</t>
  </si>
  <si>
    <t>Hevea brasiliensis</t>
  </si>
  <si>
    <t>sp54</t>
  </si>
  <si>
    <t>Cercidiphyllum japonicum</t>
  </si>
  <si>
    <t>sp55</t>
  </si>
  <si>
    <t>Liquidambar styraciflua</t>
  </si>
  <si>
    <t>sp57</t>
  </si>
  <si>
    <t>Coffea arabica</t>
  </si>
  <si>
    <t>sp58</t>
  </si>
  <si>
    <t>Brunfelsia pilosa</t>
  </si>
  <si>
    <t>sp59</t>
  </si>
  <si>
    <t>Ilex americana</t>
  </si>
  <si>
    <t>sp60</t>
  </si>
  <si>
    <t>Prosopis glandulosa</t>
  </si>
  <si>
    <t>sp61</t>
  </si>
  <si>
    <t>Cotinus coggygria 'Royal Purple'</t>
  </si>
  <si>
    <t>sp62</t>
  </si>
  <si>
    <t>Bocconia frutescens</t>
  </si>
  <si>
    <t>sp63</t>
  </si>
  <si>
    <t>Simmondsia chinensis</t>
  </si>
  <si>
    <t>sp64</t>
  </si>
  <si>
    <t>Angelica gigas</t>
  </si>
  <si>
    <t>sp65</t>
  </si>
  <si>
    <t>Oreopanax capitatus</t>
  </si>
  <si>
    <t>sp66</t>
  </si>
  <si>
    <t>Macleania insignis</t>
  </si>
  <si>
    <t>sp68</t>
  </si>
  <si>
    <t>Brunfelsia pauciflora</t>
  </si>
  <si>
    <t>sp69</t>
  </si>
  <si>
    <t>Oscularia deltoides</t>
  </si>
  <si>
    <t>sp70</t>
  </si>
  <si>
    <t>Alluaudia humbertii</t>
  </si>
  <si>
    <t>sp71</t>
  </si>
  <si>
    <t>Crassula ovata</t>
  </si>
  <si>
    <t>sp72</t>
  </si>
  <si>
    <t>Crassula muscosa</t>
  </si>
  <si>
    <t>sp49</t>
  </si>
  <si>
    <t>Magn</t>
  </si>
  <si>
    <t>Laurus nobilis</t>
  </si>
  <si>
    <t>sp56</t>
  </si>
  <si>
    <t>Asarum europaeum</t>
  </si>
  <si>
    <t>sp67</t>
  </si>
  <si>
    <t>Piper betle</t>
  </si>
  <si>
    <t>sp73</t>
  </si>
  <si>
    <t>Monoc</t>
  </si>
  <si>
    <t>Dichorisandra thyrsiflora</t>
  </si>
  <si>
    <t>sp74</t>
  </si>
  <si>
    <t>Costus barbatus</t>
  </si>
  <si>
    <t>sp75</t>
  </si>
  <si>
    <t>Iris sp.</t>
  </si>
  <si>
    <t>sp76</t>
  </si>
  <si>
    <t>Spathoglottis plicata</t>
  </si>
  <si>
    <t>sp77</t>
  </si>
  <si>
    <t>Vanda tricolor var. planilabris</t>
  </si>
  <si>
    <t>sp78</t>
  </si>
  <si>
    <t>Hosta plantaginea 'Aphrodite'</t>
  </si>
  <si>
    <t>sp79</t>
  </si>
  <si>
    <t>Convallaria majalis</t>
  </si>
  <si>
    <t>sp80</t>
  </si>
  <si>
    <t>Lilium 'Pink Twinkle' asiatic hybrid lilly</t>
  </si>
  <si>
    <t>sp81</t>
  </si>
  <si>
    <t>Allium christophii</t>
  </si>
  <si>
    <t>sp82</t>
  </si>
  <si>
    <t>Polygonatum odoratum var. pluriflorum 'Variegatum'</t>
  </si>
  <si>
    <t>sp83</t>
  </si>
  <si>
    <t>Chamaedorea pochutlensis</t>
  </si>
  <si>
    <t>sp84</t>
  </si>
  <si>
    <t>Rhapis humilis</t>
  </si>
  <si>
    <t>sp85</t>
  </si>
  <si>
    <t>Attalea oleveira</t>
  </si>
  <si>
    <t>sp86</t>
  </si>
  <si>
    <t>Mauritiella armata</t>
  </si>
  <si>
    <t>sp87</t>
  </si>
  <si>
    <t>Sabal etonia</t>
  </si>
  <si>
    <t>sp88</t>
  </si>
  <si>
    <t>BEP</t>
  </si>
  <si>
    <t>Phalaris arundinacea var. picta 'Picta'</t>
  </si>
  <si>
    <t>Gram</t>
  </si>
  <si>
    <t>sp89</t>
  </si>
  <si>
    <t>Poal</t>
  </si>
  <si>
    <t>Miscanthus sinensis 'Gracillimus'</t>
  </si>
  <si>
    <t>sp90</t>
  </si>
  <si>
    <t>Stipa calamagrostis</t>
  </si>
  <si>
    <t>sp91</t>
  </si>
  <si>
    <t>Hakonechloa macra 'Aureola'</t>
  </si>
  <si>
    <t>sp92</t>
  </si>
  <si>
    <t>Carex oshimensis</t>
  </si>
  <si>
    <t>sp93</t>
  </si>
  <si>
    <t>Cymbopogon citratus</t>
  </si>
  <si>
    <t>sp94</t>
  </si>
  <si>
    <t>Lithachne pauciflora</t>
  </si>
  <si>
    <t>sp95</t>
  </si>
  <si>
    <t>Chusquea liebmannii</t>
  </si>
  <si>
    <t>sp96</t>
  </si>
  <si>
    <t>Phyllostachys nigra</t>
  </si>
  <si>
    <t>sp97</t>
  </si>
  <si>
    <t>Indocalamus tessellatus</t>
  </si>
  <si>
    <t>sp98</t>
  </si>
  <si>
    <t>Phyllostachys aureosulcata</t>
  </si>
  <si>
    <t>sp99</t>
  </si>
  <si>
    <t>Alcantarea imperialis</t>
  </si>
  <si>
    <t>sp100</t>
  </si>
  <si>
    <t>Leymus arenarius</t>
  </si>
  <si>
    <t>sp101</t>
  </si>
  <si>
    <t>Chusquea virgata</t>
  </si>
  <si>
    <t>sp102</t>
  </si>
  <si>
    <t>Zeugites americana</t>
  </si>
  <si>
    <t>Species</t>
  </si>
  <si>
    <t>Primary_Wax_Homologue</t>
  </si>
  <si>
    <t>RH_Treatment</t>
  </si>
  <si>
    <t>TreatmentWater_dD_permil</t>
  </si>
  <si>
    <t>ModelledLeafWater_dD_permil</t>
  </si>
  <si>
    <t>Wax_dD_permil</t>
  </si>
  <si>
    <t>Wax_SD_permil</t>
  </si>
  <si>
    <t>Eps_app_reported_permil</t>
  </si>
  <si>
    <t>Eps_app_SD_permil</t>
  </si>
  <si>
    <t>Eps_bio_reported_permil</t>
  </si>
  <si>
    <t>Eps_bio_SD_permil</t>
  </si>
  <si>
    <t>n</t>
  </si>
  <si>
    <t>Eps_app_exact_recalc_permil</t>
  </si>
  <si>
    <t>Eps_bio_exact_recalc_permil</t>
  </si>
  <si>
    <t>Reported_minus_exact_app_permil</t>
  </si>
  <si>
    <t>Reported_minus_exact_bio_permil</t>
  </si>
  <si>
    <t>Tipple2015</t>
  </si>
  <si>
    <t>Populus fremontii</t>
  </si>
  <si>
    <t>C29</t>
  </si>
  <si>
    <t>High RH</t>
  </si>
  <si>
    <t>10.1111/pce.12457</t>
  </si>
  <si>
    <t>https://onlinelibrary.wiley.com/doi/10.1111/pce.12457</t>
  </si>
  <si>
    <t>Low RH</t>
  </si>
  <si>
    <t>Betula occidentalis</t>
  </si>
  <si>
    <t>C31</t>
  </si>
  <si>
    <t>Observation</t>
  </si>
  <si>
    <t>Uncertainty_or_Range</t>
  </si>
  <si>
    <t>εbio overall</t>
  </si>
  <si>
    <t>Populus fremontii leaf-water→C29 wax biosynthetic fractionation</t>
  </si>
  <si>
    <t>-164‰</t>
  </si>
  <si>
    <t>±10‰</t>
  </si>
  <si>
    <t>Betula occidentalis leaf-water→C31 wax biosynthetic fractionation</t>
  </si>
  <si>
    <t>-150‰</t>
  </si>
  <si>
    <t>±9‰</t>
  </si>
  <si>
    <t>Feakins2016</t>
  </si>
  <si>
    <t>εwax/source</t>
  </si>
  <si>
    <t>C29 n-alkane fractionation relative to measured source/xylem water in humid tropical forest</t>
  </si>
  <si>
    <t>-129‰</t>
  </si>
  <si>
    <t>±2‰ s.e.m.; reported σ≈22‰</t>
  </si>
  <si>
    <t>10.1016/j.gca.2016.03.018</t>
  </si>
  <si>
    <t>https://doi.org/10.1016/j.gca.2016.03.018</t>
  </si>
  <si>
    <t>Kahmen2013_I</t>
  </si>
  <si>
    <t>Leaf-water transfer</t>
  </si>
  <si>
    <t>Dicot n-alkanes record approximately the full leaf-water evaporative D enrichment</t>
  </si>
  <si>
    <t>~100% transfer</t>
  </si>
  <si>
    <t>qualitative/experimental</t>
  </si>
  <si>
    <t>10.1016/j.gca.2012.09.003</t>
  </si>
  <si>
    <t>https://doi.org/10.1016/j.gca.2012.09.003</t>
  </si>
  <si>
    <t>Monocot n-alkanes record only part of leaf-water evaporative D enrichment</t>
  </si>
  <si>
    <t>18–68% transfer</t>
  </si>
  <si>
    <t>reported range</t>
  </si>
  <si>
    <t>Sachse2010</t>
  </si>
  <si>
    <t>Seasonality</t>
  </si>
  <si>
    <t>Leaf-wax n-alkanes changed ~20‰ across season while source/leaf water varied ~40‰</t>
  </si>
  <si>
    <t>~20‰ wax change</t>
  </si>
  <si>
    <t>~40‰ water variation</t>
  </si>
  <si>
    <t>10.1016/j.gca.2010.08.033</t>
  </si>
  <si>
    <t>https://doi.org/10.1016/j.gca.2010.08.033</t>
  </si>
  <si>
    <t>Liu2016</t>
  </si>
  <si>
    <t>Taxonomic apparent fractionation</t>
  </si>
  <si>
    <t>Northern Hemisphere synthesis average εwax-p for monocotyledonous species</t>
  </si>
  <si>
    <t>-140‰</t>
  </si>
  <si>
    <t>study synthesis</t>
  </si>
  <si>
    <t>10.1038/srep19711</t>
  </si>
  <si>
    <t>https://www.nature.com/articles/srep19711</t>
  </si>
  <si>
    <t>Northern Hemisphere synthesis average εwax-p for dicotyledonous species</t>
  </si>
  <si>
    <t>-107‰</t>
  </si>
  <si>
    <t>Baan2025</t>
  </si>
  <si>
    <t>Cross-pathway covariance</t>
  </si>
  <si>
    <t>Pairwise δ2H relationships among different organic compounds were weak</t>
  </si>
  <si>
    <t>R² &lt; 0.26</t>
  </si>
  <si>
    <t>reported maximum relationship strength</t>
  </si>
  <si>
    <t>10.1111/nph.20430</t>
  </si>
  <si>
    <t>https://nph.onlinelibrary.wiley.com/doi/10.1111/nph.20430</t>
  </si>
  <si>
    <t>Tipple2013</t>
  </si>
  <si>
    <t>Timing</t>
  </si>
  <si>
    <t>Leaf-wax n-alkanes primarily record plant-water conditions during leaf flush</t>
  </si>
  <si>
    <t>~2-week formation window</t>
  </si>
  <si>
    <t>wax remained essentially fixed over following ~19 weeks</t>
  </si>
  <si>
    <t>10.1073/pnas.1213875110</t>
  </si>
  <si>
    <t>https://www.pnas.org/doi/10.1073/pnas.1213875110</t>
  </si>
  <si>
    <t>Field εwax/MAP</t>
  </si>
  <si>
    <t>C3 graminoid group-average C29/MAP net fractionation</t>
  </si>
  <si>
    <t>-163 to -175‰</t>
  </si>
  <si>
    <t>site/season group averages</t>
  </si>
  <si>
    <t>10.3389/feart.2024.1359157</t>
  </si>
  <si>
    <t>https://www.frontiersin.org/journals/earth-science/articles/10.3389/feart.2024.1359157/full</t>
  </si>
  <si>
    <t>Baan2023a</t>
  </si>
  <si>
    <t>Metabolic sensitivity</t>
  </si>
  <si>
    <t>Hydrogen-isotope fractionation responds differently among plant compound classes under altered metabolism</t>
  </si>
  <si>
    <t>compound-specific response</t>
  </si>
  <si>
    <t>qualitative until supplement import</t>
  </si>
  <si>
    <t>10.1016/j/phytochem.2022.113563</t>
  </si>
  <si>
    <t>https://www.sciencedirect.com/science/article/pii/S0031942222004794</t>
  </si>
  <si>
    <t>Year</t>
  </si>
  <si>
    <t>Citation_Short</t>
  </si>
  <si>
    <t>Water_Data</t>
  </si>
  <si>
    <t>Lipid_Data</t>
  </si>
  <si>
    <t>Homologue_Detail</t>
  </si>
  <si>
    <t>Controlled_Manipulation</t>
  </si>
  <si>
    <t>Rows_In_Workbook</t>
  </si>
  <si>
    <t>Article_URL</t>
  </si>
  <si>
    <t>Data_URL</t>
  </si>
  <si>
    <t>Gao et al. 2014</t>
  </si>
  <si>
    <t>102 vascular plant species</t>
  </si>
  <si>
    <t>Leaf + xylem water</t>
  </si>
  <si>
    <t>n-alkanes and n-acids</t>
  </si>
  <si>
    <t>C27/C29/C31 n-alkanes</t>
  </si>
  <si>
    <t>Common environment</t>
  </si>
  <si>
    <t>Tipple et al. 2015</t>
  </si>
  <si>
    <t>Populus fremontii; Betula occidentalis</t>
  </si>
  <si>
    <t>Treatment + modelled leaf water</t>
  </si>
  <si>
    <t>C29 (Populus), C31 (Betula)</t>
  </si>
  <si>
    <t>Single dominant homologue per species</t>
  </si>
  <si>
    <t>6 source waters × 2 RH treatments</t>
  </si>
  <si>
    <t>Liu et al. 2016</t>
  </si>
  <si>
    <t>Monocotyledonous and dicotyledonous higher plants</t>
  </si>
  <si>
    <t>Measured leaf water in supplementary experiments</t>
  </si>
  <si>
    <t>C29 n-alkane; compiled n-alkanes</t>
  </si>
  <si>
    <t>C29 in paired experiments</t>
  </si>
  <si>
    <t>Within-leaf position; taxonomy</t>
  </si>
  <si>
    <t>https://media.springernature.com/original/springer-static/esm/art%3A10.1038%2Fsrep19711/MediaObjects/41598_2016_BFsrep19711_MOESM1_ESM.pdf</t>
  </si>
  <si>
    <t>Tipple2021_PANGAEA</t>
  </si>
  <si>
    <t>Tipple 2021 PANGAEA</t>
  </si>
  <si>
    <t>Northern California plant and soil samples</t>
  </si>
  <si>
    <t>Paired water is in the broader PANGAEA bundle, not this leaf-wax table</t>
  </si>
  <si>
    <t>C25/C27/C29/C31 n-alkanes</t>
  </si>
  <si>
    <t>Multi-homologue</t>
  </si>
  <si>
    <t>Elevation/environmental gradient</t>
  </si>
  <si>
    <t>10.1594/PANGAEA.932017</t>
  </si>
  <si>
    <t>https://doi.pangaea.de/10.1594/PANGAEA.932017</t>
  </si>
  <si>
    <t>Ardenghi et al. 2024</t>
  </si>
  <si>
    <t>13 fen plant species; two Greek wetlands</t>
  </si>
  <si>
    <t>Soil/surface/internal water reported in study</t>
  </si>
  <si>
    <t>C29 and concentration-weighted n-alkanes</t>
  </si>
  <si>
    <t>C29 + CMWA</t>
  </si>
  <si>
    <t>Spring/summer; functional groups</t>
  </si>
  <si>
    <t>Lehmann2024</t>
  </si>
  <si>
    <t>Lehmann et al. 2024</t>
  </si>
  <si>
    <t>Nicotiana sylvestris; two experiments</t>
  </si>
  <si>
    <t>Water isotopes + biochemical/biophysical traits</t>
  </si>
  <si>
    <t>Leaf n-alkanes + carbohydrates</t>
  </si>
  <si>
    <t>Dataset includes n-alkanes</t>
  </si>
  <si>
    <t>N-species fertilization; starch-deficiency knockout</t>
  </si>
  <si>
    <t>10.1126/sciadv.adl3591</t>
  </si>
  <si>
    <t>https://www.science.org/doi/10.1126/sciadv.adl3591</t>
  </si>
  <si>
    <t>https://doi.org/10.5061/dryad.1zcrjdg04</t>
  </si>
  <si>
    <t>Feakins et al. 2016</t>
  </si>
  <si>
    <t>176 individuals; 32 species; five plots</t>
  </si>
  <si>
    <t>Xylem + leaf water</t>
  </si>
  <si>
    <t>Leaf wax n-alkanes</t>
  </si>
  <si>
    <t>C29 emphasized</t>
  </si>
  <si>
    <t>Kahmen et al. 2013</t>
  </si>
  <si>
    <t>Five angiosperm species</t>
  </si>
  <si>
    <t>Source/leaf-water enrichment</t>
  </si>
  <si>
    <t>Multiple n-alkanes</t>
  </si>
  <si>
    <t>Humidity / evaporative enrichment</t>
  </si>
  <si>
    <t>Gamarra2016</t>
  </si>
  <si>
    <t>Gamarra et al. 2016</t>
  </si>
  <si>
    <t>C3 and C4 grasses</t>
  </si>
  <si>
    <t>Leaf water</t>
  </si>
  <si>
    <t>Evaporative enrichment / photosynthetic type</t>
  </si>
  <si>
    <t>10.1111/pce.12789</t>
  </si>
  <si>
    <t>https://onlinelibrary.wiley.com/doi/10.1111/pce.12789</t>
  </si>
  <si>
    <t>Baan et al. 2025</t>
  </si>
  <si>
    <t>179 eudicot species plus additional compound subset</t>
  </si>
  <si>
    <t>Leaf-water/organic-compound context</t>
  </si>
  <si>
    <t>n-alkanes, cellulose and other plant compounds</t>
  </si>
  <si>
    <t>Compound-level</t>
  </si>
  <si>
    <t>Species/phylogeny</t>
  </si>
  <si>
    <t>Tipple et al. 2013</t>
  </si>
  <si>
    <t>Populus angustifolia</t>
  </si>
  <si>
    <t>Xylem + leaf + stream + atmospheric water</t>
  </si>
  <si>
    <t>Time series</t>
  </si>
  <si>
    <t>Seasonal leaf development</t>
  </si>
  <si>
    <t>Sachse et al. 2010</t>
  </si>
  <si>
    <t>Hordeum vulgare</t>
  </si>
  <si>
    <t>Soil + leaf water</t>
  </si>
  <si>
    <t>Leaf-generation resolved</t>
  </si>
  <si>
    <t>Season / leaf development</t>
  </si>
  <si>
    <t>McInerney2011</t>
  </si>
  <si>
    <t>McInerney et al. 2011</t>
  </si>
  <si>
    <t>Source/plant water context</t>
  </si>
  <si>
    <t>High-MW n-alkanes</t>
  </si>
  <si>
    <t>Transpiration / physiology</t>
  </si>
  <si>
    <t>10.1016/j.gca.2010.10.022</t>
  </si>
  <si>
    <t>https://doi.org/10.1016/j.gca.2010.10.022</t>
  </si>
  <si>
    <t>Zhou2016</t>
  </si>
  <si>
    <t>Zhou et al. 2016</t>
  </si>
  <si>
    <t>C3 and C4 land plants</t>
  </si>
  <si>
    <t>Plant-water context</t>
  </si>
  <si>
    <t>Plant lipids</t>
  </si>
  <si>
    <t>Multiple lipid classes</t>
  </si>
  <si>
    <t>Photosynthetic pathway</t>
  </si>
  <si>
    <t>10.1111/pce.12821</t>
  </si>
  <si>
    <t>https://doi.org/10.1111/pce.12821</t>
  </si>
  <si>
    <t>Eley2014</t>
  </si>
  <si>
    <t>Eley et al. 2014</t>
  </si>
  <si>
    <t>Coastal saltmarsh plants</t>
  </si>
  <si>
    <t>Species/environment</t>
  </si>
  <si>
    <t>10.1016/j.gca.2013.11.045</t>
  </si>
  <si>
    <t>https://doi.org/10.1016/j.gca.2013.11.045</t>
  </si>
  <si>
    <t>Eley2018</t>
  </si>
  <si>
    <t>Eley et al. 2018</t>
  </si>
  <si>
    <t>Saltmarsh plants</t>
  </si>
  <si>
    <t>Fatty acids, phytol and comparison with n-alkanes</t>
  </si>
  <si>
    <t>Compound-specific</t>
  </si>
  <si>
    <t>10.1029/2018JG004403</t>
  </si>
  <si>
    <t>https://agupubs.onlinelibrary.wiley.com/doi/full/10.1029/2018JG004403</t>
  </si>
  <si>
    <t>Baan et al. 2023a</t>
  </si>
  <si>
    <t>Plant compounds under altered metabolism</t>
  </si>
  <si>
    <t>Water/biochemical context</t>
  </si>
  <si>
    <t>Multiple plant compounds including acetogenic lipids</t>
  </si>
  <si>
    <t>10.1016/j.phytochem.2022.113563</t>
  </si>
  <si>
    <t>Baan2023b</t>
  </si>
  <si>
    <t>Baan et al. 2023b</t>
  </si>
  <si>
    <t>Multiple plant species</t>
  </si>
  <si>
    <t>Plant water / organic compound context</t>
  </si>
  <si>
    <t>Multiple organic compounds</t>
  </si>
  <si>
    <t>10.1016/j.gca.2023.04.013</t>
  </si>
  <si>
    <t>https://doi.org/10.1016/j.gca.2023.04.013</t>
  </si>
  <si>
    <t>Gao2014_Samples</t>
  </si>
  <si>
    <t>Liu2016_Segmented</t>
  </si>
  <si>
    <t>Tipple2015_Treatments</t>
  </si>
  <si>
    <t>Ardenghi2024_Epsilon</t>
  </si>
  <si>
    <t>Sheet_or_Field</t>
  </si>
  <si>
    <t>Category</t>
  </si>
  <si>
    <t>Definition</t>
  </si>
  <si>
    <t>Units_or_Values</t>
  </si>
  <si>
    <t>Dataset</t>
  </si>
  <si>
    <t>Common-garden 102-species water and lipid isotope dataset</t>
  </si>
  <si>
    <t>per mil VSMOW</t>
  </si>
  <si>
    <t>Controlled source-water × humidity treatment means</t>
  </si>
  <si>
    <t>Paired local leaf-water and C29 δD along leaf blades</t>
  </si>
  <si>
    <t>Liu2016_WholeLeaf</t>
  </si>
  <si>
    <t>Whole-leaf paired leaf-water and wax δD observations</t>
  </si>
  <si>
    <t>Northern California plant multi-homologue leaf-wax data</t>
  </si>
  <si>
    <t>Species-season mean net fractionation relative to MAP</t>
  </si>
  <si>
    <t>per mil</t>
  </si>
  <si>
    <t>Eps_*_exact</t>
  </si>
  <si>
    <t>Derived metric</t>
  </si>
  <si>
    <t>1000*((1+δD_product/1000)/(1+δD_water/1000)-1)</t>
  </si>
  <si>
    <t>C29_minus_C27</t>
  </si>
  <si>
    <t>δD_C29 − δD_C27</t>
  </si>
  <si>
    <t>C31_minus_C29</t>
  </si>
  <si>
    <t>δD_C31 − δD_C29</t>
  </si>
  <si>
    <t>Data_Status</t>
  </si>
  <si>
    <t>Provenance</t>
  </si>
  <si>
    <t>Evidence/ingestion level</t>
  </si>
  <si>
    <t>primary row; aggregate; pending</t>
  </si>
  <si>
    <t>Import_Queue</t>
  </si>
  <si>
    <t>Identified datasets not yet imported</t>
  </si>
  <si>
    <t>status text</t>
  </si>
  <si>
    <t>Literature_Targets</t>
  </si>
  <si>
    <t>Validation summary</t>
  </si>
  <si>
    <t>Published aggregate effects/ranges</t>
  </si>
  <si>
    <t>study-specific</t>
  </si>
  <si>
    <t>Model_Mapping</t>
  </si>
  <si>
    <t>Documentation</t>
  </si>
  <si>
    <t>Maps empirical observation types to model components</t>
  </si>
  <si>
    <t>text</t>
  </si>
  <si>
    <t>architect.docx</t>
  </si>
  <si>
    <t>Model context</t>
  </si>
  <si>
    <t>Uploaded description of upstream model architecture and validation strategy</t>
  </si>
  <si>
    <t>document</t>
  </si>
  <si>
    <t>Family</t>
  </si>
  <si>
    <t>Plant_Taxonomy</t>
  </si>
  <si>
    <t>Altitude_m</t>
  </si>
  <si>
    <t>Segment_Weight_g</t>
  </si>
  <si>
    <t>Eps_wax_vs_leafwater_reported_permil</t>
  </si>
  <si>
    <t>Eps_wax_vs_leafwater_exact_permil</t>
  </si>
  <si>
    <t>Hierochloe glabra</t>
  </si>
  <si>
    <t>Poaceae</t>
  </si>
  <si>
    <t>monocotyledonous</t>
  </si>
  <si>
    <t>Rheum palmatum L.</t>
  </si>
  <si>
    <t>Polygonaceae</t>
  </si>
  <si>
    <t>dicotyledonous</t>
  </si>
  <si>
    <t>Carex tristachya</t>
  </si>
  <si>
    <t>Agropyron cristatum</t>
  </si>
  <si>
    <t>Petasites japonicus</t>
  </si>
  <si>
    <t>Asteraceae</t>
  </si>
  <si>
    <t>Carpesium abrotanoides</t>
  </si>
  <si>
    <t>Populus L.</t>
  </si>
  <si>
    <t>Salicaceae</t>
  </si>
  <si>
    <t>Location</t>
  </si>
  <si>
    <t>Life_Form</t>
  </si>
  <si>
    <t>n_alkane_dD_permil</t>
  </si>
  <si>
    <t>Buddleja alternifolia Maxim.</t>
  </si>
  <si>
    <t>Xi'an</t>
  </si>
  <si>
    <t>shrub</t>
  </si>
  <si>
    <t>Loganiaceae</t>
  </si>
  <si>
    <t>Coriaria nepalensis Wall.</t>
  </si>
  <si>
    <t>Coriariaceae</t>
  </si>
  <si>
    <t>Cirsium setosum</t>
  </si>
  <si>
    <t>herb</t>
  </si>
  <si>
    <t>Cherry blossom</t>
  </si>
  <si>
    <t>tree</t>
  </si>
  <si>
    <t>Rosaceae</t>
  </si>
  <si>
    <t>Swida macrophylla</t>
  </si>
  <si>
    <t>Cornaceae</t>
  </si>
  <si>
    <t>Ligustrum lucidum Ait</t>
  </si>
  <si>
    <t>Oleaceae</t>
  </si>
  <si>
    <t>Potentilla kleiniana</t>
  </si>
  <si>
    <t>grass</t>
  </si>
  <si>
    <t>Populus tomentosa (0 cm)</t>
  </si>
  <si>
    <t>Lantian</t>
  </si>
  <si>
    <t>Populus tomentosa (50 cm)</t>
  </si>
  <si>
    <t>Populus tomentosa (100 cm)</t>
  </si>
  <si>
    <t>Populus tomentosa (200 cm)</t>
  </si>
  <si>
    <t>unidentified (0 cm)</t>
  </si>
  <si>
    <t>unidentified</t>
  </si>
  <si>
    <t>unidentified (100 cm)</t>
  </si>
  <si>
    <t>unidentified (200 cm)</t>
  </si>
  <si>
    <t>Lespedeza davurica (Laxm.) Schindl.</t>
  </si>
  <si>
    <t>Leguminosae</t>
  </si>
  <si>
    <t>Cirsium shansiense Petrak</t>
  </si>
  <si>
    <t>Lolium perenne L.</t>
  </si>
  <si>
    <t>Agrostis matsumurae</t>
  </si>
  <si>
    <t>Bothriochloa ischaemum</t>
  </si>
  <si>
    <t>Stipa bungeana Trin.</t>
  </si>
  <si>
    <t>Agropyron cristatum (L.) Gaertn.</t>
  </si>
  <si>
    <t>Site</t>
  </si>
  <si>
    <t>Sample_Material</t>
  </si>
  <si>
    <t>C25_dD_permil</t>
  </si>
  <si>
    <t>C27_dD_permil</t>
  </si>
  <si>
    <t>C29_dD_permil</t>
  </si>
  <si>
    <t>C31_dD_permil</t>
  </si>
  <si>
    <t>Repository_DOI</t>
  </si>
  <si>
    <t>BTWC-07</t>
  </si>
  <si>
    <t>Acer macrophyllum</t>
  </si>
  <si>
    <t>BTWC-09</t>
  </si>
  <si>
    <t>BTWC-12</t>
  </si>
  <si>
    <t>BTWC-14</t>
  </si>
  <si>
    <t>BTWC-18</t>
  </si>
  <si>
    <t>BTWC-48</t>
  </si>
  <si>
    <t>BTWC-55</t>
  </si>
  <si>
    <t>BTWC-58</t>
  </si>
  <si>
    <t>BTWC-62</t>
  </si>
  <si>
    <t>BTWC-118</t>
  </si>
  <si>
    <t>BTWC-126</t>
  </si>
  <si>
    <t>BTWC-171</t>
  </si>
  <si>
    <t>BTWC-175</t>
  </si>
  <si>
    <t>BTWC-189</t>
  </si>
  <si>
    <t>BTWC-01</t>
  </si>
  <si>
    <t>Alnus rubra</t>
  </si>
  <si>
    <t>BTWC-04</t>
  </si>
  <si>
    <t>BTWC-08</t>
  </si>
  <si>
    <t>BTWC-13</t>
  </si>
  <si>
    <t>BTWC-47</t>
  </si>
  <si>
    <t>BTWC-71</t>
  </si>
  <si>
    <t>BTWC-79</t>
  </si>
  <si>
    <t>BTWC-82</t>
  </si>
  <si>
    <t>BTWC-84</t>
  </si>
  <si>
    <t>BTWC-91</t>
  </si>
  <si>
    <t>BTWC-99</t>
  </si>
  <si>
    <t>BTWC-112</t>
  </si>
  <si>
    <t>BTWC-128</t>
  </si>
  <si>
    <t>BTWC-83</t>
  </si>
  <si>
    <t>Pinus jeffreyi</t>
  </si>
  <si>
    <t>BTWC-93</t>
  </si>
  <si>
    <t>BTWC-101</t>
  </si>
  <si>
    <t>BTWC-104</t>
  </si>
  <si>
    <t>BTWC-105</t>
  </si>
  <si>
    <t>BTWC-109</t>
  </si>
  <si>
    <t>BTWC-111</t>
  </si>
  <si>
    <t>BTWC-116</t>
  </si>
  <si>
    <t>BTWC-125</t>
  </si>
  <si>
    <t>BTWC-130</t>
  </si>
  <si>
    <t>BTWC-131</t>
  </si>
  <si>
    <t>BTWC-148</t>
  </si>
  <si>
    <t>BTWC-154</t>
  </si>
  <si>
    <t>BTWC-166</t>
  </si>
  <si>
    <t>BTWC-181</t>
  </si>
  <si>
    <t>BTWC-24</t>
  </si>
  <si>
    <t>Pinus sabineana</t>
  </si>
  <si>
    <t>BTWC-37</t>
  </si>
  <si>
    <t>BTWC-39</t>
  </si>
  <si>
    <t>BTWC-142</t>
  </si>
  <si>
    <t>BTWC-144</t>
  </si>
  <si>
    <t>BTWC-146</t>
  </si>
  <si>
    <t>BTWC-176</t>
  </si>
  <si>
    <t>BTWC-32</t>
  </si>
  <si>
    <t>Quercus douglasii</t>
  </si>
  <si>
    <t>BTWC-40</t>
  </si>
  <si>
    <t>BTWC-119</t>
  </si>
  <si>
    <t>BTWC-133</t>
  </si>
  <si>
    <t>BTWC-137</t>
  </si>
  <si>
    <t>BTWC-139</t>
  </si>
  <si>
    <t>BTWC-141</t>
  </si>
  <si>
    <t>BTWC-143</t>
  </si>
  <si>
    <t>BTWC-172</t>
  </si>
  <si>
    <t>BTWC-17</t>
  </si>
  <si>
    <t>Quercus kellogii</t>
  </si>
  <si>
    <t>BTWC-19</t>
  </si>
  <si>
    <t>BTWC-41</t>
  </si>
  <si>
    <t>BTWC-45</t>
  </si>
  <si>
    <t>BTWC-52</t>
  </si>
  <si>
    <t>BTWC-56</t>
  </si>
  <si>
    <t>BTWC-60</t>
  </si>
  <si>
    <t>BTWC-66</t>
  </si>
  <si>
    <t>BTWC-68</t>
  </si>
  <si>
    <t>BTWC-95</t>
  </si>
  <si>
    <t>BTWC-100</t>
  </si>
  <si>
    <t>BTWC-115</t>
  </si>
  <si>
    <t>BTWC-120</t>
  </si>
  <si>
    <t>BTWC-124</t>
  </si>
  <si>
    <t>BTWC-129</t>
  </si>
  <si>
    <t>BTWC-132</t>
  </si>
  <si>
    <t>BTWC-145</t>
  </si>
  <si>
    <t>BTWC-149</t>
  </si>
  <si>
    <t>BTWC-167</t>
  </si>
  <si>
    <t>BTWC-179</t>
  </si>
  <si>
    <t>BTWC-15</t>
  </si>
  <si>
    <t>Quercus lobata</t>
  </si>
  <si>
    <t>BTWC-26</t>
  </si>
  <si>
    <t>BTWC-33</t>
  </si>
  <si>
    <t>BTWC-36</t>
  </si>
  <si>
    <t>BTWC-38</t>
  </si>
  <si>
    <t>BTWC-51</t>
  </si>
  <si>
    <t>BTWC-49</t>
  </si>
  <si>
    <t>BTWC-54</t>
  </si>
  <si>
    <t>BTWC-59</t>
  </si>
  <si>
    <t>BTWC-138</t>
  </si>
  <si>
    <t>BTWC-151</t>
  </si>
  <si>
    <t>BTWC-155</t>
  </si>
  <si>
    <t>BTWC-156</t>
  </si>
  <si>
    <t>BTWC-161</t>
  </si>
  <si>
    <t>BTWC-162</t>
  </si>
  <si>
    <t>BTWC-170</t>
  </si>
  <si>
    <t>BTWC-173</t>
  </si>
  <si>
    <t>BTWC-182</t>
  </si>
  <si>
    <t>BTWC-183</t>
  </si>
  <si>
    <t>Functional_Group</t>
  </si>
  <si>
    <t>Season</t>
  </si>
  <si>
    <t>Eps_C29_vs_MAP_mean_permil</t>
  </si>
  <si>
    <t>Eps_C29_vs_MAP_SD_permil</t>
  </si>
  <si>
    <t>n_C29</t>
  </si>
  <si>
    <t>Eps_CMWA_vs_MAP_mean_permil</t>
  </si>
  <si>
    <t>Eps_CMWA_vs_MAP_SD_permil</t>
  </si>
  <si>
    <t>n_CMWA</t>
  </si>
  <si>
    <t>Nisí fen</t>
  </si>
  <si>
    <t>C3 forb</t>
  </si>
  <si>
    <t>C. palustris</t>
  </si>
  <si>
    <t>spring</t>
  </si>
  <si>
    <t>summer</t>
  </si>
  <si>
    <t>G. uliginosum</t>
  </si>
  <si>
    <t>L. salicaria</t>
  </si>
  <si>
    <t>M. aquatica</t>
  </si>
  <si>
    <t>S. palustris</t>
  </si>
  <si>
    <t>C3 graminoid</t>
  </si>
  <si>
    <t>C. riparia</t>
  </si>
  <si>
    <t>C. mariscus</t>
  </si>
  <si>
    <t>P. australis</t>
  </si>
  <si>
    <t>S. lacustris</t>
  </si>
  <si>
    <t>T. angustifolia</t>
  </si>
  <si>
    <t>C4 graminoid</t>
  </si>
  <si>
    <t>C. longus</t>
  </si>
  <si>
    <t>C3 vascular</t>
  </si>
  <si>
    <t>E. fluviatile</t>
  </si>
  <si>
    <t>aquatic</t>
  </si>
  <si>
    <t>N. alba</t>
  </si>
  <si>
    <t>Tenaghi Philippon</t>
  </si>
  <si>
    <t>Leaf-wax biosynthesis empirical validation database</t>
  </si>
  <si>
    <t>Lehmann2024; Baan2023</t>
  </si>
  <si>
    <t>Sheets</t>
  </si>
  <si>
    <t>Inventory</t>
  </si>
  <si>
    <t>Direct observations</t>
  </si>
  <si>
    <t>Type</t>
  </si>
  <si>
    <t>Species/Scope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</si>
</sst>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>
    <font>
      <sz val="11"/>
      <name val="Carlito"/>
    </font>
    <font>
      <b/>
      <sz val="11"/>
      <color rgb="FFFFFFFF"/>
      <name val="Carlito"/>
    </font>
    <font>
      <b/>
      <sz val="16"/>
      <color rgb="FFFFFFFF"/>
      <name val="Helvetica"/>
      <family val="2"/>
    </font>
    <font>
      <sz val="11"/>
      <name val="Helvetica"/>
      <family val="2"/>
    </font>
    <font>
      <sz val="11"/>
      <color rgb="FF17365D"/>
      <name val="Helvetica"/>
      <family val="2"/>
    </font>
    <font>
      <b/>
      <sz val="11"/>
      <color rgb="FFFFFFFF"/>
      <name val="Helvetica"/>
      <family val="2"/>
    </font>
    <font>
      <b/>
      <sz val="11"/>
      <color rgb="FF17365D"/>
      <name val="Helvetica"/>
      <family val="2"/>
    </font>
    <font>
      <sz val="11"/>
      <color rgb="FF0563C1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5" borderId="0" xfId="0" applyFont="1" applyFill="1" applyAlignment="1">
      <alignment vertical="center" wrapText="1"/>
    </xf>
    <xf numFmtId="165" fontId="0" fillId="0" borderId="0" xfId="0" applyNumberFormat="1" applyAlignment="1">
      <alignment wrapText="1"/>
    </xf>
    <xf numFmtId="165" fontId="0" fillId="0" borderId="0" xfId="0" applyNumberFormat="1"/>
    <xf numFmtId="0" fontId="1" fillId="5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5" fillId="5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164" fontId="3" fillId="0" borderId="0" xfId="0" applyNumberFormat="1" applyFont="1" applyAlignment="1">
      <alignment wrapText="1"/>
    </xf>
    <xf numFmtId="0" fontId="7" fillId="0" borderId="0" xfId="0" applyFont="1" applyAlignment="1">
      <alignment vertical="top" wrapText="1"/>
    </xf>
    <xf numFmtId="0" fontId="2" fillId="6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4" fillId="2" borderId="0" xfId="0" applyFont="1" applyFill="1" applyAlignment="1">
      <alignment vertical="top" wrapText="1"/>
    </xf>
  </cellXfs>
  <cellStyles count="1">
    <cellStyle name="Normal" xfId="0" builtinId="0"/>
  </cellStyles>
  <dxfs count="76"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Helvetic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o2014Table" displayName="Gao2014Table" ref="A1:AC103" totalsRowShown="0" headerRowDxfId="75" dataDxfId="74">
  <tableColumns count="29">
    <tableColumn id="1" xr3:uid="{00000000-0010-0000-0000-000001000000}" name="Study_ID" dataDxfId="73"/>
    <tableColumn id="2" xr3:uid="{00000000-0010-0000-0000-000002000000}" name="Sample_ID" dataDxfId="72"/>
    <tableColumn id="3" xr3:uid="{00000000-0010-0000-0000-000003000000}" name="Lineage" dataDxfId="71"/>
    <tableColumn id="4" xr3:uid="{00000000-0010-0000-0000-000004000000}" name="Scientific_Name" dataDxfId="70"/>
    <tableColumn id="5" xr3:uid="{00000000-0010-0000-0000-000005000000}" name="Growth_Form" dataDxfId="69"/>
    <tableColumn id="6" xr3:uid="{00000000-0010-0000-0000-000006000000}" name="C24_n_acid_dD_permil" dataDxfId="68"/>
    <tableColumn id="7" xr3:uid="{00000000-0010-0000-0000-000007000000}" name="C26_n_acid_dD_permil" dataDxfId="67"/>
    <tableColumn id="8" xr3:uid="{00000000-0010-0000-0000-000008000000}" name="C28_n_acid_dD_permil" dataDxfId="66"/>
    <tableColumn id="9" xr3:uid="{00000000-0010-0000-0000-000009000000}" name="C30_n_acid_dD_permil" dataDxfId="65"/>
    <tableColumn id="10" xr3:uid="{00000000-0010-0000-0000-00000A000000}" name="C27_n_alkane_dD_permil" dataDxfId="64"/>
    <tableColumn id="11" xr3:uid="{00000000-0010-0000-0000-00000B000000}" name="C29_n_alkane_dD_permil" dataDxfId="63"/>
    <tableColumn id="12" xr3:uid="{00000000-0010-0000-0000-00000C000000}" name="C31_n_alkane_dD_permil" dataDxfId="62"/>
    <tableColumn id="13" xr3:uid="{00000000-0010-0000-0000-00000D000000}" name="LeafWater_dD_permil" dataDxfId="61"/>
    <tableColumn id="14" xr3:uid="{00000000-0010-0000-0000-00000E000000}" name="XylemWater_dD_permil" dataDxfId="60"/>
    <tableColumn id="15" xr3:uid="{00000000-0010-0000-0000-00000F000000}" name="EnvironmentalWater_dD_permil" dataDxfId="59"/>
    <tableColumn id="16" xr3:uid="{00000000-0010-0000-0000-000010000000}" name="Eps_C27_vs_Xylem_permil" dataDxfId="58"/>
    <tableColumn id="17" xr3:uid="{00000000-0010-0000-0000-000011000000}" name="Eps_C29_vs_Xylem_permil" dataDxfId="57"/>
    <tableColumn id="18" xr3:uid="{00000000-0010-0000-0000-000012000000}" name="Eps_C31_vs_Xylem_permil" dataDxfId="56"/>
    <tableColumn id="19" xr3:uid="{00000000-0010-0000-0000-000013000000}" name="Eps_C27_vs_LeafWater_permil" dataDxfId="55"/>
    <tableColumn id="20" xr3:uid="{00000000-0010-0000-0000-000014000000}" name="Eps_C29_vs_LeafWater_permil" dataDxfId="54"/>
    <tableColumn id="21" xr3:uid="{00000000-0010-0000-0000-000015000000}" name="Eps_C31_vs_LeafWater_permil" dataDxfId="53"/>
    <tableColumn id="22" xr3:uid="{00000000-0010-0000-0000-000016000000}" name="Eps_C27_vs_EnvWater_permil" dataDxfId="52"/>
    <tableColumn id="23" xr3:uid="{00000000-0010-0000-0000-000017000000}" name="Eps_C29_vs_EnvWater_permil" dataDxfId="51"/>
    <tableColumn id="24" xr3:uid="{00000000-0010-0000-0000-000018000000}" name="Eps_C31_vs_EnvWater_permil" dataDxfId="50"/>
    <tableColumn id="25" xr3:uid="{00000000-0010-0000-0000-000019000000}" name="C29_minus_C27_permil" dataDxfId="49"/>
    <tableColumn id="26" xr3:uid="{00000000-0010-0000-0000-00001A000000}" name="C31_minus_C29_permil" dataDxfId="48"/>
    <tableColumn id="30" xr3:uid="{00000000-0010-0000-0000-00001E000000}" name="DOI" dataDxfId="47"/>
    <tableColumn id="31" xr3:uid="{00000000-0010-0000-0000-00001F000000}" name="Source_URL" dataDxfId="46"/>
    <tableColumn id="32" xr3:uid="{00000000-0010-0000-0000-000020000000}" name="Supplement_URL" data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pple2015Table" displayName="Tipple2015Table" ref="A1:S25" totalsRowShown="0" headerRowDxfId="44" dataDxfId="43">
  <tableColumns count="19">
    <tableColumn id="1" xr3:uid="{00000000-0010-0000-0100-000001000000}" name="Study_ID" dataDxfId="42"/>
    <tableColumn id="2" xr3:uid="{00000000-0010-0000-0100-000002000000}" name="Species" dataDxfId="41"/>
    <tableColumn id="3" xr3:uid="{00000000-0010-0000-0100-000003000000}" name="Primary_Wax_Homologue" dataDxfId="40"/>
    <tableColumn id="4" xr3:uid="{00000000-0010-0000-0100-000004000000}" name="RH_Treatment" dataDxfId="39"/>
    <tableColumn id="5" xr3:uid="{00000000-0010-0000-0100-000005000000}" name="TreatmentWater_dD_permil" dataDxfId="38"/>
    <tableColumn id="6" xr3:uid="{00000000-0010-0000-0100-000006000000}" name="ModelledLeafWater_dD_permil" dataDxfId="37"/>
    <tableColumn id="7" xr3:uid="{00000000-0010-0000-0100-000007000000}" name="Wax_dD_permil" dataDxfId="36"/>
    <tableColumn id="8" xr3:uid="{00000000-0010-0000-0100-000008000000}" name="Wax_SD_permil" dataDxfId="35"/>
    <tableColumn id="9" xr3:uid="{00000000-0010-0000-0100-000009000000}" name="Eps_app_reported_permil" dataDxfId="34"/>
    <tableColumn id="10" xr3:uid="{00000000-0010-0000-0100-00000A000000}" name="Eps_app_SD_permil" dataDxfId="33"/>
    <tableColumn id="11" xr3:uid="{00000000-0010-0000-0100-00000B000000}" name="Eps_bio_reported_permil" dataDxfId="32"/>
    <tableColumn id="12" xr3:uid="{00000000-0010-0000-0100-00000C000000}" name="Eps_bio_SD_permil" dataDxfId="31"/>
    <tableColumn id="13" xr3:uid="{00000000-0010-0000-0100-00000D000000}" name="n" dataDxfId="30"/>
    <tableColumn id="14" xr3:uid="{00000000-0010-0000-0100-00000E000000}" name="Eps_app_exact_recalc_permil" dataDxfId="29"/>
    <tableColumn id="15" xr3:uid="{00000000-0010-0000-0100-00000F000000}" name="Eps_bio_exact_recalc_permil" dataDxfId="28"/>
    <tableColumn id="16" xr3:uid="{00000000-0010-0000-0100-000010000000}" name="Reported_minus_exact_app_permil" dataDxfId="27"/>
    <tableColumn id="17" xr3:uid="{00000000-0010-0000-0100-000011000000}" name="Reported_minus_exact_bio_permil" dataDxfId="26"/>
    <tableColumn id="19" xr3:uid="{00000000-0010-0000-0100-000013000000}" name="DOI" dataDxfId="25"/>
    <tableColumn id="20" xr3:uid="{00000000-0010-0000-0100-000014000000}" name="Source_URL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teratureTargetsTable" displayName="LiteratureTargetsTable" ref="A1:H7" totalsRowShown="0" headerRowDxfId="23" dataDxfId="22">
  <tableColumns count="8">
    <tableColumn id="1" xr3:uid="{00000000-0010-0000-0200-000001000000}" name="Study_ID" dataDxfId="21"/>
    <tableColumn id="2" xr3:uid="{00000000-0010-0000-0200-000002000000}" name="Type" dataDxfId="20"/>
    <tableColumn id="3" xr3:uid="{00000000-0010-0000-0200-000003000000}" name="Observation" dataDxfId="19"/>
    <tableColumn id="4" xr3:uid="{00000000-0010-0000-0200-000004000000}" name="Value" dataDxfId="18"/>
    <tableColumn id="5" xr3:uid="{00000000-0010-0000-0200-000005000000}" name="Uncertainty_or_Range" dataDxfId="17"/>
    <tableColumn id="6" xr3:uid="{00000000-0010-0000-0200-000006000000}" name="n" dataDxfId="16"/>
    <tableColumn id="9" xr3:uid="{00000000-0010-0000-0200-000009000000}" name="DOI" dataDxfId="15"/>
    <tableColumn id="10" xr3:uid="{00000000-0010-0000-0200-00000A000000}" name="Source_URL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udyRegistryTable" displayName="StudyRegistryTable" ref="A1:L14" totalsRowShown="0" headerRowDxfId="13" dataDxfId="12">
  <tableColumns count="12">
    <tableColumn id="1" xr3:uid="{00000000-0010-0000-0300-000001000000}" name="Study_ID" dataDxfId="11"/>
    <tableColumn id="2" xr3:uid="{00000000-0010-0000-0300-000002000000}" name="Year" dataDxfId="10"/>
    <tableColumn id="3" xr3:uid="{00000000-0010-0000-0300-000003000000}" name="Citation_Short" dataDxfId="9"/>
    <tableColumn id="6" xr3:uid="{00000000-0010-0000-0300-000006000000}" name="Species/Scope" dataDxfId="8"/>
    <tableColumn id="7" xr3:uid="{00000000-0010-0000-0300-000007000000}" name="Water_Data" dataDxfId="7"/>
    <tableColumn id="8" xr3:uid="{00000000-0010-0000-0300-000008000000}" name="Lipid_Data" dataDxfId="6"/>
    <tableColumn id="9" xr3:uid="{00000000-0010-0000-0300-000009000000}" name="Homologue_Detail" dataDxfId="5"/>
    <tableColumn id="10" xr3:uid="{00000000-0010-0000-0300-00000A000000}" name="Controlled_Manipulation" dataDxfId="4"/>
    <tableColumn id="12" xr3:uid="{00000000-0010-0000-0300-00000C000000}" name="Rows_In_Workbook" dataDxfId="3"/>
    <tableColumn id="15" xr3:uid="{00000000-0010-0000-0300-00000F000000}" name="DOI" dataDxfId="2"/>
    <tableColumn id="16" xr3:uid="{00000000-0010-0000-0300-000010000000}" name="Article_URL" dataDxfId="1"/>
    <tableColumn id="17" xr3:uid="{00000000-0010-0000-0300-000011000000}" name="Data_URL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aDictionaryTable" displayName="DataDictionaryTable" ref="A1:D14" totalsRowShown="0">
  <tableColumns count="4">
    <tableColumn id="1" xr3:uid="{00000000-0010-0000-0500-000001000000}" name="Sheet"/>
    <tableColumn id="2" xr3:uid="{00000000-0010-0000-0500-000002000000}" name="Column_or_Field"/>
    <tableColumn id="3" xr3:uid="{00000000-0010-0000-0500-000003000000}" name="Definition"/>
    <tableColumn id="4" xr3:uid="{00000000-0010-0000-0500-000004000000}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D10" sqref="D10:F10"/>
    </sheetView>
  </sheetViews>
  <sheetFormatPr baseColWidth="10" defaultColWidth="8.83203125" defaultRowHeight="15"/>
  <cols>
    <col min="1" max="1" width="36" style="6" customWidth="1"/>
    <col min="2" max="3" width="18" style="6" customWidth="1"/>
    <col min="4" max="6" width="22" style="6" customWidth="1"/>
    <col min="7" max="16384" width="8.83203125" style="6"/>
  </cols>
  <sheetData>
    <row r="1" spans="1:6" ht="21">
      <c r="A1" s="13" t="s">
        <v>742</v>
      </c>
      <c r="B1" s="13"/>
      <c r="C1" s="13"/>
      <c r="D1" s="13"/>
      <c r="E1" s="13"/>
      <c r="F1" s="13"/>
    </row>
    <row r="2" spans="1:6">
      <c r="A2" s="7"/>
      <c r="B2" s="7"/>
      <c r="C2" s="7"/>
      <c r="D2" s="7"/>
      <c r="E2" s="7"/>
      <c r="F2" s="7"/>
    </row>
    <row r="3" spans="1:6" ht="16">
      <c r="A3" s="8" t="s">
        <v>745</v>
      </c>
      <c r="B3" s="8" t="s">
        <v>0</v>
      </c>
      <c r="C3" s="7"/>
      <c r="D3" s="14"/>
      <c r="E3" s="14"/>
      <c r="F3" s="14"/>
    </row>
    <row r="4" spans="1:6" ht="16">
      <c r="A4" s="7" t="s">
        <v>1</v>
      </c>
      <c r="B4" s="7">
        <f>COUNTA(Gao2014_Samples!A2:A500)</f>
        <v>102</v>
      </c>
      <c r="C4" s="7"/>
      <c r="D4" s="9" t="s">
        <v>2</v>
      </c>
      <c r="E4" s="9" t="s">
        <v>744</v>
      </c>
      <c r="F4" s="9" t="s">
        <v>3</v>
      </c>
    </row>
    <row r="5" spans="1:6" ht="32">
      <c r="A5" s="7" t="s">
        <v>4</v>
      </c>
      <c r="B5" s="7">
        <f>COUNTA(Tipple2015_Treatments!A2:A500)</f>
        <v>24</v>
      </c>
      <c r="C5" s="7"/>
      <c r="D5" s="7" t="s">
        <v>5</v>
      </c>
      <c r="E5" s="7" t="s">
        <v>6</v>
      </c>
      <c r="F5" s="7" t="s">
        <v>7</v>
      </c>
    </row>
    <row r="6" spans="1:6" ht="48">
      <c r="A6" s="7" t="s">
        <v>8</v>
      </c>
      <c r="B6" s="7">
        <f>COUNTA(Liu2016_Segmented!A2:A500)</f>
        <v>43</v>
      </c>
      <c r="C6" s="7"/>
      <c r="D6" s="7" t="s">
        <v>9</v>
      </c>
      <c r="E6" s="7" t="s">
        <v>10</v>
      </c>
      <c r="F6" s="7" t="s">
        <v>11</v>
      </c>
    </row>
    <row r="7" spans="1:6" ht="32">
      <c r="A7" s="7" t="s">
        <v>12</v>
      </c>
      <c r="B7" s="7">
        <f>COUNTA(Liu2016_WholeLeaf!A2:A500)</f>
        <v>21</v>
      </c>
      <c r="C7" s="7"/>
      <c r="D7" s="7" t="s">
        <v>13</v>
      </c>
      <c r="E7" s="7" t="s">
        <v>14</v>
      </c>
      <c r="F7" s="7" t="s">
        <v>15</v>
      </c>
    </row>
    <row r="8" spans="1:6" ht="32">
      <c r="A8" s="7" t="s">
        <v>16</v>
      </c>
      <c r="B8" s="7">
        <f>COUNTA(Tipple2021_PANGAEA!A2:A500)</f>
        <v>97</v>
      </c>
      <c r="C8" s="7"/>
      <c r="D8" s="7" t="s">
        <v>17</v>
      </c>
      <c r="E8" s="7" t="s">
        <v>743</v>
      </c>
      <c r="F8" s="7" t="s">
        <v>18</v>
      </c>
    </row>
    <row r="9" spans="1:6" ht="32">
      <c r="A9" s="7" t="s">
        <v>746</v>
      </c>
      <c r="B9" s="7">
        <f>SUM(B4:B8)</f>
        <v>287</v>
      </c>
      <c r="C9" s="7"/>
      <c r="D9" s="7" t="s">
        <v>19</v>
      </c>
      <c r="E9" s="7" t="s">
        <v>20</v>
      </c>
      <c r="F9" s="7" t="s">
        <v>21</v>
      </c>
    </row>
    <row r="10" spans="1:6" ht="32">
      <c r="A10" s="7" t="s">
        <v>22</v>
      </c>
      <c r="B10" s="7">
        <f>COUNTA(Ardenghi2024_Epsilon!A2:A500)</f>
        <v>27</v>
      </c>
      <c r="C10" s="7"/>
      <c r="D10" s="15" t="s">
        <v>23</v>
      </c>
      <c r="E10" s="15" t="s">
        <v>24</v>
      </c>
      <c r="F10" s="15" t="s">
        <v>25</v>
      </c>
    </row>
    <row r="11" spans="1:6" ht="16">
      <c r="A11" s="7" t="s">
        <v>26</v>
      </c>
      <c r="B11" s="7">
        <f>COUNTA(Study_Registry!A2:A100)</f>
        <v>18</v>
      </c>
      <c r="C11" s="7"/>
      <c r="D11" s="16" t="s">
        <v>27</v>
      </c>
      <c r="E11" s="16" t="s">
        <v>28</v>
      </c>
      <c r="F11" s="16" t="s">
        <v>29</v>
      </c>
    </row>
  </sheetData>
  <mergeCells count="4">
    <mergeCell ref="A1:F1"/>
    <mergeCell ref="D3:F3"/>
    <mergeCell ref="D10:F10"/>
    <mergeCell ref="D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3"/>
  <sheetViews>
    <sheetView topLeftCell="V1" workbookViewId="0">
      <selection activeCell="AA1" sqref="AA1:AB1048576"/>
    </sheetView>
  </sheetViews>
  <sheetFormatPr baseColWidth="10" defaultColWidth="8.83203125" defaultRowHeight="15"/>
  <cols>
    <col min="1" max="1" width="12" customWidth="1"/>
    <col min="2" max="2" width="10" customWidth="1"/>
    <col min="3" max="3" width="12" customWidth="1"/>
    <col min="4" max="4" width="28" customWidth="1"/>
    <col min="5" max="5" width="12" customWidth="1"/>
    <col min="6" max="9" width="14" customWidth="1"/>
    <col min="10" max="15" width="15" customWidth="1"/>
    <col min="16" max="24" width="17" customWidth="1"/>
    <col min="25" max="26" width="16" customWidth="1"/>
    <col min="27" max="27" width="23.83203125" bestFit="1" customWidth="1"/>
    <col min="28" max="29" width="36" customWidth="1"/>
  </cols>
  <sheetData>
    <row r="1" spans="1:29" ht="48">
      <c r="A1" s="10" t="s">
        <v>30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10" t="s">
        <v>40</v>
      </c>
      <c r="L1" s="10" t="s">
        <v>41</v>
      </c>
      <c r="M1" s="10" t="s">
        <v>42</v>
      </c>
      <c r="N1" s="10" t="s">
        <v>43</v>
      </c>
      <c r="O1" s="10" t="s">
        <v>44</v>
      </c>
      <c r="P1" s="10" t="s">
        <v>45</v>
      </c>
      <c r="Q1" s="10" t="s">
        <v>46</v>
      </c>
      <c r="R1" s="10" t="s">
        <v>47</v>
      </c>
      <c r="S1" s="10" t="s">
        <v>48</v>
      </c>
      <c r="T1" s="10" t="s">
        <v>49</v>
      </c>
      <c r="U1" s="10" t="s">
        <v>50</v>
      </c>
      <c r="V1" s="10" t="s">
        <v>51</v>
      </c>
      <c r="W1" s="10" t="s">
        <v>52</v>
      </c>
      <c r="X1" s="10" t="s">
        <v>53</v>
      </c>
      <c r="Y1" s="10" t="s">
        <v>54</v>
      </c>
      <c r="Z1" s="10" t="s">
        <v>55</v>
      </c>
      <c r="AA1" s="10" t="s">
        <v>56</v>
      </c>
      <c r="AB1" s="10" t="s">
        <v>57</v>
      </c>
      <c r="AC1" s="10" t="s">
        <v>58</v>
      </c>
    </row>
    <row r="2" spans="1:29" ht="32">
      <c r="A2" s="7" t="s">
        <v>14</v>
      </c>
      <c r="B2" s="7" t="s">
        <v>59</v>
      </c>
      <c r="C2" s="7" t="s">
        <v>60</v>
      </c>
      <c r="D2" s="7" t="s">
        <v>61</v>
      </c>
      <c r="E2" s="7" t="s">
        <v>62</v>
      </c>
      <c r="F2" s="11">
        <v>-141</v>
      </c>
      <c r="G2" s="11">
        <v>-137</v>
      </c>
      <c r="H2" s="11"/>
      <c r="I2" s="11"/>
      <c r="J2" s="11">
        <v>-117</v>
      </c>
      <c r="K2" s="11">
        <v>-129</v>
      </c>
      <c r="L2" s="11"/>
      <c r="M2" s="11"/>
      <c r="N2" s="11"/>
      <c r="O2" s="11">
        <v>-57</v>
      </c>
      <c r="P2" s="11" t="str">
        <f t="shared" ref="P2:P33" si="0">IF(OR(J2="",N2=""),"",1000*((1+J2/1000)/(1+N2/1000)-1))</f>
        <v/>
      </c>
      <c r="Q2" s="11" t="str">
        <f t="shared" ref="Q2:Q33" si="1">IF(OR(K2="",N2=""),"",1000*((1+K2/1000)/(1+N2/1000)-1))</f>
        <v/>
      </c>
      <c r="R2" s="11" t="str">
        <f t="shared" ref="R2:R33" si="2">IF(OR(L2="",N2=""),"",1000*((1+L2/1000)/(1+N2/1000)-1))</f>
        <v/>
      </c>
      <c r="S2" s="11" t="str">
        <f t="shared" ref="S2:S33" si="3">IF(OR(J2="",M2=""),"",1000*((1+J2/1000)/(1+M2/1000)-1))</f>
        <v/>
      </c>
      <c r="T2" s="11" t="str">
        <f t="shared" ref="T2:T33" si="4">IF(OR(K2="",M2=""),"",1000*((1+K2/1000)/(1+M2/1000)-1))</f>
        <v/>
      </c>
      <c r="U2" s="11" t="str">
        <f t="shared" ref="U2:U33" si="5">IF(OR(L2="",M2=""),"",1000*((1+L2/1000)/(1+M2/1000)-1))</f>
        <v/>
      </c>
      <c r="V2" s="11">
        <f t="shared" ref="V2:V33" si="6">IF(J2="","",1000*((1+J2/1000)/(1+O2/1000)-1))</f>
        <v>-63.626723223753956</v>
      </c>
      <c r="W2" s="11">
        <f t="shared" ref="W2:W33" si="7">IF(K2="","",1000*((1+K2/1000)/(1+O2/1000)-1))</f>
        <v>-76.352067868504676</v>
      </c>
      <c r="X2" s="11" t="str">
        <f t="shared" ref="X2:X33" si="8">IF(L2="","",1000*((1+L2/1000)/(1+O2/1000)-1))</f>
        <v/>
      </c>
      <c r="Y2" s="11">
        <f t="shared" ref="Y2:Y33" si="9">IF(OR(J2="",K2=""),"",K2-J2)</f>
        <v>-12</v>
      </c>
      <c r="Z2" s="11" t="str">
        <f t="shared" ref="Z2:Z33" si="10">IF(OR(K2="",L2=""),"",L2-K2)</f>
        <v/>
      </c>
      <c r="AA2" s="7" t="s">
        <v>63</v>
      </c>
      <c r="AB2" s="12" t="s">
        <v>64</v>
      </c>
      <c r="AC2" s="12" t="s">
        <v>65</v>
      </c>
    </row>
    <row r="3" spans="1:29" ht="32">
      <c r="A3" s="7" t="s">
        <v>14</v>
      </c>
      <c r="B3" s="7" t="s">
        <v>66</v>
      </c>
      <c r="C3" s="7" t="s">
        <v>60</v>
      </c>
      <c r="D3" s="7" t="s">
        <v>67</v>
      </c>
      <c r="E3" s="7" t="s">
        <v>62</v>
      </c>
      <c r="F3" s="11">
        <v>-132</v>
      </c>
      <c r="G3" s="11">
        <v>-121</v>
      </c>
      <c r="H3" s="11">
        <v>-131</v>
      </c>
      <c r="I3" s="11"/>
      <c r="J3" s="11">
        <v>-119</v>
      </c>
      <c r="K3" s="11">
        <v>-133</v>
      </c>
      <c r="L3" s="11">
        <v>-109</v>
      </c>
      <c r="M3" s="11"/>
      <c r="N3" s="11"/>
      <c r="O3" s="11">
        <v>-57</v>
      </c>
      <c r="P3" s="11" t="str">
        <f t="shared" si="0"/>
        <v/>
      </c>
      <c r="Q3" s="11" t="str">
        <f t="shared" si="1"/>
        <v/>
      </c>
      <c r="R3" s="11" t="str">
        <f t="shared" si="2"/>
        <v/>
      </c>
      <c r="S3" s="11" t="str">
        <f t="shared" si="3"/>
        <v/>
      </c>
      <c r="T3" s="11" t="str">
        <f t="shared" si="4"/>
        <v/>
      </c>
      <c r="U3" s="11" t="str">
        <f t="shared" si="5"/>
        <v/>
      </c>
      <c r="V3" s="11">
        <f t="shared" si="6"/>
        <v>-65.7476139978791</v>
      </c>
      <c r="W3" s="11">
        <f t="shared" si="7"/>
        <v>-80.593849416754963</v>
      </c>
      <c r="X3" s="11">
        <f t="shared" si="8"/>
        <v>-55.143160127253395</v>
      </c>
      <c r="Y3" s="11">
        <f t="shared" si="9"/>
        <v>-14</v>
      </c>
      <c r="Z3" s="11">
        <f t="shared" si="10"/>
        <v>24</v>
      </c>
      <c r="AA3" s="7" t="s">
        <v>63</v>
      </c>
      <c r="AB3" s="12" t="s">
        <v>64</v>
      </c>
      <c r="AC3" s="12" t="s">
        <v>65</v>
      </c>
    </row>
    <row r="4" spans="1:29" ht="32">
      <c r="A4" s="7" t="s">
        <v>14</v>
      </c>
      <c r="B4" s="7" t="s">
        <v>68</v>
      </c>
      <c r="C4" s="7" t="s">
        <v>60</v>
      </c>
      <c r="D4" s="7" t="s">
        <v>69</v>
      </c>
      <c r="E4" s="7" t="s">
        <v>62</v>
      </c>
      <c r="F4" s="11">
        <v>-125</v>
      </c>
      <c r="G4" s="11">
        <v>-134</v>
      </c>
      <c r="H4" s="11">
        <v>-129</v>
      </c>
      <c r="I4" s="11">
        <v>-124</v>
      </c>
      <c r="J4" s="11">
        <v>-129</v>
      </c>
      <c r="K4" s="11">
        <v>-118</v>
      </c>
      <c r="L4" s="11"/>
      <c r="M4" s="11"/>
      <c r="N4" s="11"/>
      <c r="O4" s="11">
        <v>-57</v>
      </c>
      <c r="P4" s="11" t="str">
        <f t="shared" si="0"/>
        <v/>
      </c>
      <c r="Q4" s="11" t="str">
        <f t="shared" si="1"/>
        <v/>
      </c>
      <c r="R4" s="11" t="str">
        <f t="shared" si="2"/>
        <v/>
      </c>
      <c r="S4" s="11" t="str">
        <f t="shared" si="3"/>
        <v/>
      </c>
      <c r="T4" s="11" t="str">
        <f t="shared" si="4"/>
        <v/>
      </c>
      <c r="U4" s="11" t="str">
        <f t="shared" si="5"/>
        <v/>
      </c>
      <c r="V4" s="11">
        <f t="shared" si="6"/>
        <v>-76.352067868504676</v>
      </c>
      <c r="W4" s="11">
        <f t="shared" si="7"/>
        <v>-64.687168610816471</v>
      </c>
      <c r="X4" s="11" t="str">
        <f t="shared" si="8"/>
        <v/>
      </c>
      <c r="Y4" s="11">
        <f t="shared" si="9"/>
        <v>11</v>
      </c>
      <c r="Z4" s="11" t="str">
        <f t="shared" si="10"/>
        <v/>
      </c>
      <c r="AA4" s="7" t="s">
        <v>63</v>
      </c>
      <c r="AB4" s="12" t="s">
        <v>64</v>
      </c>
      <c r="AC4" s="12" t="s">
        <v>65</v>
      </c>
    </row>
    <row r="5" spans="1:29" ht="32">
      <c r="A5" s="7" t="s">
        <v>14</v>
      </c>
      <c r="B5" s="7" t="s">
        <v>70</v>
      </c>
      <c r="C5" s="7" t="s">
        <v>60</v>
      </c>
      <c r="D5" s="7" t="s">
        <v>71</v>
      </c>
      <c r="E5" s="7" t="s">
        <v>62</v>
      </c>
      <c r="F5" s="11">
        <v>-192</v>
      </c>
      <c r="G5" s="11">
        <v>-189</v>
      </c>
      <c r="H5" s="11">
        <v>-182</v>
      </c>
      <c r="I5" s="11">
        <v>-193</v>
      </c>
      <c r="J5" s="11">
        <v>-200</v>
      </c>
      <c r="K5" s="11">
        <v>-172</v>
      </c>
      <c r="L5" s="11"/>
      <c r="M5" s="11"/>
      <c r="N5" s="11"/>
      <c r="O5" s="11">
        <v>-57</v>
      </c>
      <c r="P5" s="11" t="str">
        <f t="shared" si="0"/>
        <v/>
      </c>
      <c r="Q5" s="11" t="str">
        <f t="shared" si="1"/>
        <v/>
      </c>
      <c r="R5" s="11" t="str">
        <f t="shared" si="2"/>
        <v/>
      </c>
      <c r="S5" s="11" t="str">
        <f t="shared" si="3"/>
        <v/>
      </c>
      <c r="T5" s="11" t="str">
        <f t="shared" si="4"/>
        <v/>
      </c>
      <c r="U5" s="11" t="str">
        <f t="shared" si="5"/>
        <v/>
      </c>
      <c r="V5" s="11">
        <f t="shared" si="6"/>
        <v>-151.64369034994684</v>
      </c>
      <c r="W5" s="11">
        <f t="shared" si="7"/>
        <v>-121.95121951219501</v>
      </c>
      <c r="X5" s="11" t="str">
        <f t="shared" si="8"/>
        <v/>
      </c>
      <c r="Y5" s="11">
        <f t="shared" si="9"/>
        <v>28</v>
      </c>
      <c r="Z5" s="11" t="str">
        <f t="shared" si="10"/>
        <v/>
      </c>
      <c r="AA5" s="7" t="s">
        <v>63</v>
      </c>
      <c r="AB5" s="12" t="s">
        <v>64</v>
      </c>
      <c r="AC5" s="12" t="s">
        <v>65</v>
      </c>
    </row>
    <row r="6" spans="1:29" ht="32">
      <c r="A6" s="7" t="s">
        <v>14</v>
      </c>
      <c r="B6" s="7" t="s">
        <v>72</v>
      </c>
      <c r="C6" s="7" t="s">
        <v>60</v>
      </c>
      <c r="D6" s="7" t="s">
        <v>73</v>
      </c>
      <c r="E6" s="7" t="s">
        <v>62</v>
      </c>
      <c r="F6" s="11">
        <v>-129</v>
      </c>
      <c r="G6" s="11">
        <v>-132</v>
      </c>
      <c r="H6" s="11">
        <v>-113</v>
      </c>
      <c r="I6" s="11"/>
      <c r="J6" s="11">
        <v>-126</v>
      </c>
      <c r="K6" s="11">
        <v>-129</v>
      </c>
      <c r="L6" s="11"/>
      <c r="M6" s="11"/>
      <c r="N6" s="11"/>
      <c r="O6" s="11">
        <v>-57</v>
      </c>
      <c r="P6" s="11" t="str">
        <f t="shared" si="0"/>
        <v/>
      </c>
      <c r="Q6" s="11" t="str">
        <f t="shared" si="1"/>
        <v/>
      </c>
      <c r="R6" s="11" t="str">
        <f t="shared" si="2"/>
        <v/>
      </c>
      <c r="S6" s="11" t="str">
        <f t="shared" si="3"/>
        <v/>
      </c>
      <c r="T6" s="11" t="str">
        <f t="shared" si="4"/>
        <v/>
      </c>
      <c r="U6" s="11" t="str">
        <f t="shared" si="5"/>
        <v/>
      </c>
      <c r="V6" s="11">
        <f t="shared" si="6"/>
        <v>-73.170731707317032</v>
      </c>
      <c r="W6" s="11">
        <f t="shared" si="7"/>
        <v>-76.352067868504676</v>
      </c>
      <c r="X6" s="11" t="str">
        <f t="shared" si="8"/>
        <v/>
      </c>
      <c r="Y6" s="11">
        <f t="shared" si="9"/>
        <v>-3</v>
      </c>
      <c r="Z6" s="11" t="str">
        <f t="shared" si="10"/>
        <v/>
      </c>
      <c r="AA6" s="7" t="s">
        <v>63</v>
      </c>
      <c r="AB6" s="12" t="s">
        <v>64</v>
      </c>
      <c r="AC6" s="12" t="s">
        <v>65</v>
      </c>
    </row>
    <row r="7" spans="1:29" ht="32">
      <c r="A7" s="7" t="s">
        <v>14</v>
      </c>
      <c r="B7" s="7" t="s">
        <v>74</v>
      </c>
      <c r="C7" s="7" t="s">
        <v>60</v>
      </c>
      <c r="D7" s="7" t="s">
        <v>75</v>
      </c>
      <c r="E7" s="7" t="s">
        <v>62</v>
      </c>
      <c r="F7" s="11">
        <v>-124</v>
      </c>
      <c r="G7" s="11">
        <v>-122</v>
      </c>
      <c r="H7" s="11">
        <v>-98</v>
      </c>
      <c r="I7" s="11"/>
      <c r="J7" s="11">
        <v>-98</v>
      </c>
      <c r="K7" s="11">
        <v>-112</v>
      </c>
      <c r="L7" s="11"/>
      <c r="M7" s="11"/>
      <c r="N7" s="11"/>
      <c r="O7" s="11">
        <v>-57</v>
      </c>
      <c r="P7" s="11" t="str">
        <f t="shared" si="0"/>
        <v/>
      </c>
      <c r="Q7" s="11" t="str">
        <f t="shared" si="1"/>
        <v/>
      </c>
      <c r="R7" s="11" t="str">
        <f t="shared" si="2"/>
        <v/>
      </c>
      <c r="S7" s="11" t="str">
        <f t="shared" si="3"/>
        <v/>
      </c>
      <c r="T7" s="11" t="str">
        <f t="shared" si="4"/>
        <v/>
      </c>
      <c r="U7" s="11" t="str">
        <f t="shared" si="5"/>
        <v/>
      </c>
      <c r="V7" s="11">
        <f t="shared" si="6"/>
        <v>-43.47826086956519</v>
      </c>
      <c r="W7" s="11">
        <f t="shared" si="7"/>
        <v>-58.324496288441054</v>
      </c>
      <c r="X7" s="11" t="str">
        <f t="shared" si="8"/>
        <v/>
      </c>
      <c r="Y7" s="11">
        <f t="shared" si="9"/>
        <v>-14</v>
      </c>
      <c r="Z7" s="11" t="str">
        <f t="shared" si="10"/>
        <v/>
      </c>
      <c r="AA7" s="7" t="s">
        <v>63</v>
      </c>
      <c r="AB7" s="12" t="s">
        <v>64</v>
      </c>
      <c r="AC7" s="12" t="s">
        <v>65</v>
      </c>
    </row>
    <row r="8" spans="1:29" ht="32">
      <c r="A8" s="7" t="s">
        <v>14</v>
      </c>
      <c r="B8" s="7" t="s">
        <v>76</v>
      </c>
      <c r="C8" s="7" t="s">
        <v>60</v>
      </c>
      <c r="D8" s="7" t="s">
        <v>77</v>
      </c>
      <c r="E8" s="7" t="s">
        <v>62</v>
      </c>
      <c r="F8" s="11">
        <v>-137</v>
      </c>
      <c r="G8" s="11">
        <v>-139</v>
      </c>
      <c r="H8" s="11">
        <v>-143</v>
      </c>
      <c r="I8" s="11">
        <v>-175</v>
      </c>
      <c r="J8" s="11">
        <v>-139</v>
      </c>
      <c r="K8" s="11">
        <v>-170</v>
      </c>
      <c r="L8" s="11">
        <v>-182</v>
      </c>
      <c r="M8" s="11"/>
      <c r="N8" s="11"/>
      <c r="O8" s="11">
        <v>-57</v>
      </c>
      <c r="P8" s="11" t="str">
        <f t="shared" si="0"/>
        <v/>
      </c>
      <c r="Q8" s="11" t="str">
        <f t="shared" si="1"/>
        <v/>
      </c>
      <c r="R8" s="11" t="str">
        <f t="shared" si="2"/>
        <v/>
      </c>
      <c r="S8" s="11" t="str">
        <f t="shared" si="3"/>
        <v/>
      </c>
      <c r="T8" s="11" t="str">
        <f t="shared" si="4"/>
        <v/>
      </c>
      <c r="U8" s="11" t="str">
        <f t="shared" si="5"/>
        <v/>
      </c>
      <c r="V8" s="11">
        <f t="shared" si="6"/>
        <v>-86.95652173913038</v>
      </c>
      <c r="W8" s="11">
        <f t="shared" si="7"/>
        <v>-119.83032873806998</v>
      </c>
      <c r="X8" s="11">
        <f t="shared" si="8"/>
        <v>-132.55567338282071</v>
      </c>
      <c r="Y8" s="11">
        <f t="shared" si="9"/>
        <v>-31</v>
      </c>
      <c r="Z8" s="11">
        <f t="shared" si="10"/>
        <v>-12</v>
      </c>
      <c r="AA8" s="7" t="s">
        <v>63</v>
      </c>
      <c r="AB8" s="12" t="s">
        <v>64</v>
      </c>
      <c r="AC8" s="12" t="s">
        <v>65</v>
      </c>
    </row>
    <row r="9" spans="1:29" ht="32">
      <c r="A9" s="7" t="s">
        <v>14</v>
      </c>
      <c r="B9" s="7" t="s">
        <v>78</v>
      </c>
      <c r="C9" s="7" t="s">
        <v>60</v>
      </c>
      <c r="D9" s="7" t="s">
        <v>79</v>
      </c>
      <c r="E9" s="7" t="s">
        <v>62</v>
      </c>
      <c r="F9" s="11">
        <v>-132</v>
      </c>
      <c r="G9" s="11">
        <v>-129</v>
      </c>
      <c r="H9" s="11">
        <v>-127</v>
      </c>
      <c r="I9" s="11">
        <v>-96</v>
      </c>
      <c r="J9" s="11">
        <v>-126</v>
      </c>
      <c r="K9" s="11">
        <v>-137</v>
      </c>
      <c r="L9" s="11">
        <v>-117</v>
      </c>
      <c r="M9" s="11"/>
      <c r="N9" s="11"/>
      <c r="O9" s="11">
        <v>-57</v>
      </c>
      <c r="P9" s="11" t="str">
        <f t="shared" si="0"/>
        <v/>
      </c>
      <c r="Q9" s="11" t="str">
        <f t="shared" si="1"/>
        <v/>
      </c>
      <c r="R9" s="11" t="str">
        <f t="shared" si="2"/>
        <v/>
      </c>
      <c r="S9" s="11" t="str">
        <f t="shared" si="3"/>
        <v/>
      </c>
      <c r="T9" s="11" t="str">
        <f t="shared" si="4"/>
        <v/>
      </c>
      <c r="U9" s="11" t="str">
        <f t="shared" si="5"/>
        <v/>
      </c>
      <c r="V9" s="11">
        <f t="shared" si="6"/>
        <v>-73.170731707317032</v>
      </c>
      <c r="W9" s="11">
        <f t="shared" si="7"/>
        <v>-84.835630965005237</v>
      </c>
      <c r="X9" s="11">
        <f t="shared" si="8"/>
        <v>-63.626723223753956</v>
      </c>
      <c r="Y9" s="11">
        <f t="shared" si="9"/>
        <v>-11</v>
      </c>
      <c r="Z9" s="11">
        <f t="shared" si="10"/>
        <v>20</v>
      </c>
      <c r="AA9" s="7" t="s">
        <v>63</v>
      </c>
      <c r="AB9" s="12" t="s">
        <v>64</v>
      </c>
      <c r="AC9" s="12" t="s">
        <v>65</v>
      </c>
    </row>
    <row r="10" spans="1:29" ht="32">
      <c r="A10" s="7" t="s">
        <v>14</v>
      </c>
      <c r="B10" s="7" t="s">
        <v>80</v>
      </c>
      <c r="C10" s="7" t="s">
        <v>60</v>
      </c>
      <c r="D10" s="7" t="s">
        <v>81</v>
      </c>
      <c r="E10" s="7" t="s">
        <v>62</v>
      </c>
      <c r="F10" s="11"/>
      <c r="G10" s="11"/>
      <c r="H10" s="11"/>
      <c r="I10" s="11"/>
      <c r="J10" s="11">
        <v>-101</v>
      </c>
      <c r="K10" s="11"/>
      <c r="L10" s="11"/>
      <c r="M10" s="11"/>
      <c r="N10" s="11"/>
      <c r="O10" s="11">
        <v>-57</v>
      </c>
      <c r="P10" s="11" t="str">
        <f t="shared" si="0"/>
        <v/>
      </c>
      <c r="Q10" s="11" t="str">
        <f t="shared" si="1"/>
        <v/>
      </c>
      <c r="R10" s="11" t="str">
        <f t="shared" si="2"/>
        <v/>
      </c>
      <c r="S10" s="11" t="str">
        <f t="shared" si="3"/>
        <v/>
      </c>
      <c r="T10" s="11" t="str">
        <f t="shared" si="4"/>
        <v/>
      </c>
      <c r="U10" s="11" t="str">
        <f t="shared" si="5"/>
        <v/>
      </c>
      <c r="V10" s="11">
        <f t="shared" si="6"/>
        <v>-46.659597030752842</v>
      </c>
      <c r="W10" s="11" t="str">
        <f t="shared" si="7"/>
        <v/>
      </c>
      <c r="X10" s="11" t="str">
        <f t="shared" si="8"/>
        <v/>
      </c>
      <c r="Y10" s="11" t="str">
        <f t="shared" si="9"/>
        <v/>
      </c>
      <c r="Z10" s="11" t="str">
        <f t="shared" si="10"/>
        <v/>
      </c>
      <c r="AA10" s="7" t="s">
        <v>63</v>
      </c>
      <c r="AB10" s="12" t="s">
        <v>64</v>
      </c>
      <c r="AC10" s="12" t="s">
        <v>65</v>
      </c>
    </row>
    <row r="11" spans="1:29" ht="32">
      <c r="A11" s="7" t="s">
        <v>14</v>
      </c>
      <c r="B11" s="7" t="s">
        <v>82</v>
      </c>
      <c r="C11" s="7" t="s">
        <v>60</v>
      </c>
      <c r="D11" s="7" t="s">
        <v>83</v>
      </c>
      <c r="E11" s="7" t="s">
        <v>62</v>
      </c>
      <c r="F11" s="11">
        <v>-177</v>
      </c>
      <c r="G11" s="11">
        <v>-179</v>
      </c>
      <c r="H11" s="11">
        <v>-175</v>
      </c>
      <c r="I11" s="11"/>
      <c r="J11" s="11">
        <v>-139</v>
      </c>
      <c r="K11" s="11">
        <v>-139</v>
      </c>
      <c r="L11" s="11"/>
      <c r="M11" s="11"/>
      <c r="N11" s="11"/>
      <c r="O11" s="11">
        <v>-57</v>
      </c>
      <c r="P11" s="11" t="str">
        <f t="shared" si="0"/>
        <v/>
      </c>
      <c r="Q11" s="11" t="str">
        <f t="shared" si="1"/>
        <v/>
      </c>
      <c r="R11" s="11" t="str">
        <f t="shared" si="2"/>
        <v/>
      </c>
      <c r="S11" s="11" t="str">
        <f t="shared" si="3"/>
        <v/>
      </c>
      <c r="T11" s="11" t="str">
        <f t="shared" si="4"/>
        <v/>
      </c>
      <c r="U11" s="11" t="str">
        <f t="shared" si="5"/>
        <v/>
      </c>
      <c r="V11" s="11">
        <f t="shared" si="6"/>
        <v>-86.95652173913038</v>
      </c>
      <c r="W11" s="11">
        <f t="shared" si="7"/>
        <v>-86.95652173913038</v>
      </c>
      <c r="X11" s="11" t="str">
        <f t="shared" si="8"/>
        <v/>
      </c>
      <c r="Y11" s="11">
        <f t="shared" si="9"/>
        <v>0</v>
      </c>
      <c r="Z11" s="11" t="str">
        <f t="shared" si="10"/>
        <v/>
      </c>
      <c r="AA11" s="7" t="s">
        <v>63</v>
      </c>
      <c r="AB11" s="12" t="s">
        <v>64</v>
      </c>
      <c r="AC11" s="12" t="s">
        <v>65</v>
      </c>
    </row>
    <row r="12" spans="1:29" ht="32">
      <c r="A12" s="7" t="s">
        <v>14</v>
      </c>
      <c r="B12" s="7" t="s">
        <v>84</v>
      </c>
      <c r="C12" s="7" t="s">
        <v>85</v>
      </c>
      <c r="D12" s="7" t="s">
        <v>86</v>
      </c>
      <c r="E12" s="7" t="s">
        <v>87</v>
      </c>
      <c r="F12" s="11">
        <v>-171</v>
      </c>
      <c r="G12" s="11">
        <v>-155</v>
      </c>
      <c r="H12" s="11">
        <v>-147</v>
      </c>
      <c r="I12" s="11">
        <v>-141</v>
      </c>
      <c r="J12" s="11"/>
      <c r="K12" s="11">
        <v>-143</v>
      </c>
      <c r="L12" s="11">
        <v>-164</v>
      </c>
      <c r="M12" s="11">
        <v>-17.600000000000001</v>
      </c>
      <c r="N12" s="11">
        <v>-44</v>
      </c>
      <c r="O12" s="11">
        <v>-57</v>
      </c>
      <c r="P12" s="11" t="str">
        <f t="shared" si="0"/>
        <v/>
      </c>
      <c r="Q12" s="11">
        <f t="shared" si="1"/>
        <v>-103.55648535564855</v>
      </c>
      <c r="R12" s="11">
        <f t="shared" si="2"/>
        <v>-125.52301255230125</v>
      </c>
      <c r="S12" s="11" t="str">
        <f t="shared" si="3"/>
        <v/>
      </c>
      <c r="T12" s="11">
        <f t="shared" si="4"/>
        <v>-127.64657980456029</v>
      </c>
      <c r="U12" s="11">
        <f t="shared" si="5"/>
        <v>-149.02280130293167</v>
      </c>
      <c r="V12" s="11" t="str">
        <f t="shared" si="6"/>
        <v/>
      </c>
      <c r="W12" s="11">
        <f t="shared" si="7"/>
        <v>-91.198303287380654</v>
      </c>
      <c r="X12" s="11">
        <f t="shared" si="8"/>
        <v>-113.46765641569456</v>
      </c>
      <c r="Y12" s="11" t="str">
        <f t="shared" si="9"/>
        <v/>
      </c>
      <c r="Z12" s="11">
        <f t="shared" si="10"/>
        <v>-21</v>
      </c>
      <c r="AA12" s="7" t="s">
        <v>63</v>
      </c>
      <c r="AB12" s="12" t="s">
        <v>64</v>
      </c>
      <c r="AC12" s="12" t="s">
        <v>65</v>
      </c>
    </row>
    <row r="13" spans="1:29" ht="32">
      <c r="A13" s="7" t="s">
        <v>14</v>
      </c>
      <c r="B13" s="7" t="s">
        <v>88</v>
      </c>
      <c r="C13" s="7" t="s">
        <v>85</v>
      </c>
      <c r="D13" s="7" t="s">
        <v>89</v>
      </c>
      <c r="E13" s="7" t="s">
        <v>87</v>
      </c>
      <c r="F13" s="11">
        <v>-111</v>
      </c>
      <c r="G13" s="11">
        <v>-117</v>
      </c>
      <c r="H13" s="11">
        <v>-148</v>
      </c>
      <c r="I13" s="11">
        <v>-124</v>
      </c>
      <c r="J13" s="11">
        <v>-110</v>
      </c>
      <c r="K13" s="11">
        <v>-116</v>
      </c>
      <c r="L13" s="11">
        <v>-114</v>
      </c>
      <c r="M13" s="11">
        <v>-1.9</v>
      </c>
      <c r="N13" s="11">
        <v>-49.9</v>
      </c>
      <c r="O13" s="11">
        <v>-57</v>
      </c>
      <c r="P13" s="11">
        <f t="shared" si="0"/>
        <v>-63.256499315861412</v>
      </c>
      <c r="Q13" s="11">
        <f t="shared" si="1"/>
        <v>-69.571624039574729</v>
      </c>
      <c r="R13" s="11">
        <f t="shared" si="2"/>
        <v>-67.466582465003583</v>
      </c>
      <c r="S13" s="11">
        <f t="shared" si="3"/>
        <v>-108.30578098386934</v>
      </c>
      <c r="T13" s="11">
        <f t="shared" si="4"/>
        <v>-114.31720268510171</v>
      </c>
      <c r="U13" s="11">
        <f t="shared" si="5"/>
        <v>-112.31339545135755</v>
      </c>
      <c r="V13" s="11">
        <f t="shared" si="6"/>
        <v>-56.20360551431591</v>
      </c>
      <c r="W13" s="11">
        <f t="shared" si="7"/>
        <v>-62.566277836691327</v>
      </c>
      <c r="X13" s="11">
        <f t="shared" si="8"/>
        <v>-60.445387062566191</v>
      </c>
      <c r="Y13" s="11">
        <f t="shared" si="9"/>
        <v>-6</v>
      </c>
      <c r="Z13" s="11">
        <f t="shared" si="10"/>
        <v>2</v>
      </c>
      <c r="AA13" s="7" t="s">
        <v>63</v>
      </c>
      <c r="AB13" s="12" t="s">
        <v>64</v>
      </c>
      <c r="AC13" s="12" t="s">
        <v>65</v>
      </c>
    </row>
    <row r="14" spans="1:29" ht="32">
      <c r="A14" s="7" t="s">
        <v>14</v>
      </c>
      <c r="B14" s="7" t="s">
        <v>90</v>
      </c>
      <c r="C14" s="7" t="s">
        <v>85</v>
      </c>
      <c r="D14" s="7" t="s">
        <v>91</v>
      </c>
      <c r="E14" s="7" t="s">
        <v>62</v>
      </c>
      <c r="F14" s="11">
        <v>-123</v>
      </c>
      <c r="G14" s="11">
        <v>-127</v>
      </c>
      <c r="H14" s="11">
        <v>-129</v>
      </c>
      <c r="I14" s="11">
        <v>-117</v>
      </c>
      <c r="J14" s="11">
        <v>-128</v>
      </c>
      <c r="K14" s="11">
        <v>-127</v>
      </c>
      <c r="L14" s="11">
        <v>-160</v>
      </c>
      <c r="M14" s="11">
        <v>-3.7</v>
      </c>
      <c r="N14" s="11">
        <v>-34.700000000000003</v>
      </c>
      <c r="O14" s="11">
        <v>-57</v>
      </c>
      <c r="P14" s="11">
        <f t="shared" si="0"/>
        <v>-96.653889982388989</v>
      </c>
      <c r="Q14" s="11">
        <f t="shared" si="1"/>
        <v>-95.617942608515534</v>
      </c>
      <c r="R14" s="11">
        <f t="shared" si="2"/>
        <v>-129.80420594633802</v>
      </c>
      <c r="S14" s="11">
        <f t="shared" si="3"/>
        <v>-124.76161798655016</v>
      </c>
      <c r="T14" s="11">
        <f t="shared" si="4"/>
        <v>-123.7579042457091</v>
      </c>
      <c r="U14" s="11">
        <f t="shared" si="5"/>
        <v>-156.88045769346581</v>
      </c>
      <c r="V14" s="11">
        <f t="shared" si="6"/>
        <v>-75.291622481442161</v>
      </c>
      <c r="W14" s="11">
        <f t="shared" si="7"/>
        <v>-74.231177094379547</v>
      </c>
      <c r="X14" s="11">
        <f t="shared" si="8"/>
        <v>-109.22587486744429</v>
      </c>
      <c r="Y14" s="11">
        <f t="shared" si="9"/>
        <v>1</v>
      </c>
      <c r="Z14" s="11">
        <f t="shared" si="10"/>
        <v>-33</v>
      </c>
      <c r="AA14" s="7" t="s">
        <v>63</v>
      </c>
      <c r="AB14" s="12" t="s">
        <v>64</v>
      </c>
      <c r="AC14" s="12" t="s">
        <v>65</v>
      </c>
    </row>
    <row r="15" spans="1:29" ht="32">
      <c r="A15" s="7" t="s">
        <v>14</v>
      </c>
      <c r="B15" s="7" t="s">
        <v>92</v>
      </c>
      <c r="C15" s="7" t="s">
        <v>85</v>
      </c>
      <c r="D15" s="7" t="s">
        <v>93</v>
      </c>
      <c r="E15" s="7" t="s">
        <v>62</v>
      </c>
      <c r="F15" s="11">
        <v>-111</v>
      </c>
      <c r="G15" s="11">
        <v>-119</v>
      </c>
      <c r="H15" s="11">
        <v>-113</v>
      </c>
      <c r="I15" s="11"/>
      <c r="J15" s="11">
        <v>-118</v>
      </c>
      <c r="K15" s="11">
        <v>-182</v>
      </c>
      <c r="L15" s="11"/>
      <c r="M15" s="11">
        <v>-17.5</v>
      </c>
      <c r="N15" s="11">
        <v>-38.799999999999997</v>
      </c>
      <c r="O15" s="11">
        <v>-57</v>
      </c>
      <c r="P15" s="11">
        <f t="shared" si="0"/>
        <v>-82.397003745318443</v>
      </c>
      <c r="Q15" s="11">
        <f t="shared" si="1"/>
        <v>-148.98044111527253</v>
      </c>
      <c r="R15" s="11" t="str">
        <f t="shared" si="2"/>
        <v/>
      </c>
      <c r="S15" s="11">
        <f t="shared" si="3"/>
        <v>-102.29007633587794</v>
      </c>
      <c r="T15" s="11">
        <f t="shared" si="4"/>
        <v>-167.43002544529261</v>
      </c>
      <c r="U15" s="11" t="str">
        <f t="shared" si="5"/>
        <v/>
      </c>
      <c r="V15" s="11">
        <f t="shared" si="6"/>
        <v>-64.687168610816471</v>
      </c>
      <c r="W15" s="11">
        <f t="shared" si="7"/>
        <v>-132.55567338282071</v>
      </c>
      <c r="X15" s="11" t="str">
        <f t="shared" si="8"/>
        <v/>
      </c>
      <c r="Y15" s="11">
        <f t="shared" si="9"/>
        <v>-64</v>
      </c>
      <c r="Z15" s="11" t="str">
        <f t="shared" si="10"/>
        <v/>
      </c>
      <c r="AA15" s="7" t="s">
        <v>63</v>
      </c>
      <c r="AB15" s="12" t="s">
        <v>64</v>
      </c>
      <c r="AC15" s="12" t="s">
        <v>65</v>
      </c>
    </row>
    <row r="16" spans="1:29" ht="32">
      <c r="A16" s="7" t="s">
        <v>14</v>
      </c>
      <c r="B16" s="7" t="s">
        <v>94</v>
      </c>
      <c r="C16" s="7" t="s">
        <v>95</v>
      </c>
      <c r="D16" s="7" t="s">
        <v>96</v>
      </c>
      <c r="E16" s="7" t="s">
        <v>62</v>
      </c>
      <c r="F16" s="11">
        <v>-155</v>
      </c>
      <c r="G16" s="11">
        <v>-168</v>
      </c>
      <c r="H16" s="11">
        <v>-203</v>
      </c>
      <c r="I16" s="11">
        <v>-164</v>
      </c>
      <c r="J16" s="11"/>
      <c r="K16" s="11"/>
      <c r="L16" s="11"/>
      <c r="M16" s="11"/>
      <c r="N16" s="11"/>
      <c r="O16" s="11">
        <v>-57</v>
      </c>
      <c r="P16" s="11" t="str">
        <f t="shared" si="0"/>
        <v/>
      </c>
      <c r="Q16" s="11" t="str">
        <f t="shared" si="1"/>
        <v/>
      </c>
      <c r="R16" s="11" t="str">
        <f t="shared" si="2"/>
        <v/>
      </c>
      <c r="S16" s="11" t="str">
        <f t="shared" si="3"/>
        <v/>
      </c>
      <c r="T16" s="11" t="str">
        <f t="shared" si="4"/>
        <v/>
      </c>
      <c r="U16" s="11" t="str">
        <f t="shared" si="5"/>
        <v/>
      </c>
      <c r="V16" s="11" t="str">
        <f t="shared" si="6"/>
        <v/>
      </c>
      <c r="W16" s="11" t="str">
        <f t="shared" si="7"/>
        <v/>
      </c>
      <c r="X16" s="11" t="str">
        <f t="shared" si="8"/>
        <v/>
      </c>
      <c r="Y16" s="11" t="str">
        <f t="shared" si="9"/>
        <v/>
      </c>
      <c r="Z16" s="11" t="str">
        <f t="shared" si="10"/>
        <v/>
      </c>
      <c r="AA16" s="7" t="s">
        <v>63</v>
      </c>
      <c r="AB16" s="12" t="s">
        <v>64</v>
      </c>
      <c r="AC16" s="12" t="s">
        <v>65</v>
      </c>
    </row>
    <row r="17" spans="1:29" ht="32">
      <c r="A17" s="7" t="s">
        <v>14</v>
      </c>
      <c r="B17" s="7" t="s">
        <v>97</v>
      </c>
      <c r="C17" s="7" t="s">
        <v>95</v>
      </c>
      <c r="D17" s="7" t="s">
        <v>98</v>
      </c>
      <c r="E17" s="7" t="s">
        <v>62</v>
      </c>
      <c r="F17" s="11">
        <v>-140</v>
      </c>
      <c r="G17" s="11">
        <v>-150</v>
      </c>
      <c r="H17" s="11">
        <v>-148</v>
      </c>
      <c r="I17" s="11">
        <v>-156</v>
      </c>
      <c r="J17" s="11">
        <v>-111</v>
      </c>
      <c r="K17" s="11">
        <v>-136</v>
      </c>
      <c r="L17" s="11"/>
      <c r="M17" s="11"/>
      <c r="N17" s="11"/>
      <c r="O17" s="11">
        <v>-57</v>
      </c>
      <c r="P17" s="11" t="str">
        <f t="shared" si="0"/>
        <v/>
      </c>
      <c r="Q17" s="11" t="str">
        <f t="shared" si="1"/>
        <v/>
      </c>
      <c r="R17" s="11" t="str">
        <f t="shared" si="2"/>
        <v/>
      </c>
      <c r="S17" s="11" t="str">
        <f t="shared" si="3"/>
        <v/>
      </c>
      <c r="T17" s="11" t="str">
        <f t="shared" si="4"/>
        <v/>
      </c>
      <c r="U17" s="11" t="str">
        <f t="shared" si="5"/>
        <v/>
      </c>
      <c r="V17" s="11">
        <f t="shared" si="6"/>
        <v>-57.264050901378539</v>
      </c>
      <c r="W17" s="11">
        <f t="shared" si="7"/>
        <v>-83.775185577942722</v>
      </c>
      <c r="X17" s="11" t="str">
        <f t="shared" si="8"/>
        <v/>
      </c>
      <c r="Y17" s="11">
        <f t="shared" si="9"/>
        <v>-25</v>
      </c>
      <c r="Z17" s="11" t="str">
        <f t="shared" si="10"/>
        <v/>
      </c>
      <c r="AA17" s="7" t="s">
        <v>63</v>
      </c>
      <c r="AB17" s="12" t="s">
        <v>64</v>
      </c>
      <c r="AC17" s="12" t="s">
        <v>65</v>
      </c>
    </row>
    <row r="18" spans="1:29" ht="32">
      <c r="A18" s="7" t="s">
        <v>14</v>
      </c>
      <c r="B18" s="7" t="s">
        <v>99</v>
      </c>
      <c r="C18" s="7" t="s">
        <v>95</v>
      </c>
      <c r="D18" s="7" t="s">
        <v>100</v>
      </c>
      <c r="E18" s="7" t="s">
        <v>62</v>
      </c>
      <c r="F18" s="11">
        <v>-184</v>
      </c>
      <c r="G18" s="11">
        <v>-186</v>
      </c>
      <c r="H18" s="11">
        <v>-183</v>
      </c>
      <c r="I18" s="11">
        <v>-182</v>
      </c>
      <c r="J18" s="11"/>
      <c r="K18" s="11">
        <v>-177</v>
      </c>
      <c r="L18" s="11">
        <v>-174</v>
      </c>
      <c r="M18" s="11"/>
      <c r="N18" s="11"/>
      <c r="O18" s="11">
        <v>-57</v>
      </c>
      <c r="P18" s="11" t="str">
        <f t="shared" si="0"/>
        <v/>
      </c>
      <c r="Q18" s="11" t="str">
        <f t="shared" si="1"/>
        <v/>
      </c>
      <c r="R18" s="11" t="str">
        <f t="shared" si="2"/>
        <v/>
      </c>
      <c r="S18" s="11" t="str">
        <f t="shared" si="3"/>
        <v/>
      </c>
      <c r="T18" s="11" t="str">
        <f t="shared" si="4"/>
        <v/>
      </c>
      <c r="U18" s="11" t="str">
        <f t="shared" si="5"/>
        <v/>
      </c>
      <c r="V18" s="11" t="str">
        <f t="shared" si="6"/>
        <v/>
      </c>
      <c r="W18" s="11">
        <f t="shared" si="7"/>
        <v>-127.25344644750791</v>
      </c>
      <c r="X18" s="11">
        <f t="shared" si="8"/>
        <v>-124.07211028632015</v>
      </c>
      <c r="Y18" s="11" t="str">
        <f t="shared" si="9"/>
        <v/>
      </c>
      <c r="Z18" s="11">
        <f t="shared" si="10"/>
        <v>3</v>
      </c>
      <c r="AA18" s="7" t="s">
        <v>63</v>
      </c>
      <c r="AB18" s="12" t="s">
        <v>64</v>
      </c>
      <c r="AC18" s="12" t="s">
        <v>65</v>
      </c>
    </row>
    <row r="19" spans="1:29" ht="32">
      <c r="A19" s="7" t="s">
        <v>14</v>
      </c>
      <c r="B19" s="7" t="s">
        <v>101</v>
      </c>
      <c r="C19" s="7" t="s">
        <v>95</v>
      </c>
      <c r="D19" s="7" t="s">
        <v>102</v>
      </c>
      <c r="E19" s="7" t="s">
        <v>62</v>
      </c>
      <c r="F19" s="11">
        <v>-130</v>
      </c>
      <c r="G19" s="11">
        <v>-127</v>
      </c>
      <c r="H19" s="11">
        <v>-133</v>
      </c>
      <c r="I19" s="11">
        <v>-140</v>
      </c>
      <c r="J19" s="11">
        <v>-118</v>
      </c>
      <c r="K19" s="11">
        <v>-133</v>
      </c>
      <c r="L19" s="11">
        <v>-137</v>
      </c>
      <c r="M19" s="11"/>
      <c r="N19" s="11"/>
      <c r="O19" s="11">
        <v>-57</v>
      </c>
      <c r="P19" s="11" t="str">
        <f t="shared" si="0"/>
        <v/>
      </c>
      <c r="Q19" s="11" t="str">
        <f t="shared" si="1"/>
        <v/>
      </c>
      <c r="R19" s="11" t="str">
        <f t="shared" si="2"/>
        <v/>
      </c>
      <c r="S19" s="11" t="str">
        <f t="shared" si="3"/>
        <v/>
      </c>
      <c r="T19" s="11" t="str">
        <f t="shared" si="4"/>
        <v/>
      </c>
      <c r="U19" s="11" t="str">
        <f t="shared" si="5"/>
        <v/>
      </c>
      <c r="V19" s="11">
        <f t="shared" si="6"/>
        <v>-64.687168610816471</v>
      </c>
      <c r="W19" s="11">
        <f t="shared" si="7"/>
        <v>-80.593849416754963</v>
      </c>
      <c r="X19" s="11">
        <f t="shared" si="8"/>
        <v>-84.835630965005237</v>
      </c>
      <c r="Y19" s="11">
        <f t="shared" si="9"/>
        <v>-15</v>
      </c>
      <c r="Z19" s="11">
        <f t="shared" si="10"/>
        <v>-4</v>
      </c>
      <c r="AA19" s="7" t="s">
        <v>63</v>
      </c>
      <c r="AB19" s="12" t="s">
        <v>64</v>
      </c>
      <c r="AC19" s="12" t="s">
        <v>65</v>
      </c>
    </row>
    <row r="20" spans="1:29" ht="32">
      <c r="A20" s="7" t="s">
        <v>14</v>
      </c>
      <c r="B20" s="7" t="s">
        <v>103</v>
      </c>
      <c r="C20" s="7" t="s">
        <v>95</v>
      </c>
      <c r="D20" s="7" t="s">
        <v>104</v>
      </c>
      <c r="E20" s="7" t="s">
        <v>62</v>
      </c>
      <c r="F20" s="11">
        <v>-147</v>
      </c>
      <c r="G20" s="11">
        <v>-145</v>
      </c>
      <c r="H20" s="11">
        <v>-142</v>
      </c>
      <c r="I20" s="11">
        <v>-149</v>
      </c>
      <c r="J20" s="11">
        <v>-124</v>
      </c>
      <c r="K20" s="11">
        <v>-136</v>
      </c>
      <c r="L20" s="11"/>
      <c r="M20" s="11"/>
      <c r="N20" s="11"/>
      <c r="O20" s="11">
        <v>-57</v>
      </c>
      <c r="P20" s="11" t="str">
        <f t="shared" si="0"/>
        <v/>
      </c>
      <c r="Q20" s="11" t="str">
        <f t="shared" si="1"/>
        <v/>
      </c>
      <c r="R20" s="11" t="str">
        <f t="shared" si="2"/>
        <v/>
      </c>
      <c r="S20" s="11" t="str">
        <f t="shared" si="3"/>
        <v/>
      </c>
      <c r="T20" s="11" t="str">
        <f t="shared" si="4"/>
        <v/>
      </c>
      <c r="U20" s="11" t="str">
        <f t="shared" si="5"/>
        <v/>
      </c>
      <c r="V20" s="11">
        <f t="shared" si="6"/>
        <v>-71.049840933191888</v>
      </c>
      <c r="W20" s="11">
        <f t="shared" si="7"/>
        <v>-83.775185577942722</v>
      </c>
      <c r="X20" s="11" t="str">
        <f t="shared" si="8"/>
        <v/>
      </c>
      <c r="Y20" s="11">
        <f t="shared" si="9"/>
        <v>-12</v>
      </c>
      <c r="Z20" s="11" t="str">
        <f t="shared" si="10"/>
        <v/>
      </c>
      <c r="AA20" s="7" t="s">
        <v>63</v>
      </c>
      <c r="AB20" s="12" t="s">
        <v>64</v>
      </c>
      <c r="AC20" s="12" t="s">
        <v>65</v>
      </c>
    </row>
    <row r="21" spans="1:29" ht="32">
      <c r="A21" s="7" t="s">
        <v>14</v>
      </c>
      <c r="B21" s="7" t="s">
        <v>105</v>
      </c>
      <c r="C21" s="7" t="s">
        <v>95</v>
      </c>
      <c r="D21" s="7" t="s">
        <v>106</v>
      </c>
      <c r="E21" s="7" t="s">
        <v>62</v>
      </c>
      <c r="F21" s="11">
        <v>-164</v>
      </c>
      <c r="G21" s="11">
        <v>-163</v>
      </c>
      <c r="H21" s="11">
        <v>-163</v>
      </c>
      <c r="I21" s="11">
        <v>-172</v>
      </c>
      <c r="J21" s="11">
        <v>-140</v>
      </c>
      <c r="K21" s="11">
        <v>-149</v>
      </c>
      <c r="L21" s="11">
        <v>-165</v>
      </c>
      <c r="M21" s="11"/>
      <c r="N21" s="11"/>
      <c r="O21" s="11">
        <v>-57</v>
      </c>
      <c r="P21" s="11" t="str">
        <f t="shared" si="0"/>
        <v/>
      </c>
      <c r="Q21" s="11" t="str">
        <f t="shared" si="1"/>
        <v/>
      </c>
      <c r="R21" s="11" t="str">
        <f t="shared" si="2"/>
        <v/>
      </c>
      <c r="S21" s="11" t="str">
        <f t="shared" si="3"/>
        <v/>
      </c>
      <c r="T21" s="11" t="str">
        <f t="shared" si="4"/>
        <v/>
      </c>
      <c r="U21" s="11" t="str">
        <f t="shared" si="5"/>
        <v/>
      </c>
      <c r="V21" s="11">
        <f t="shared" si="6"/>
        <v>-88.016967126193009</v>
      </c>
      <c r="W21" s="11">
        <f t="shared" si="7"/>
        <v>-97.560975609756071</v>
      </c>
      <c r="X21" s="11">
        <f t="shared" si="8"/>
        <v>-114.52810180275719</v>
      </c>
      <c r="Y21" s="11">
        <f t="shared" si="9"/>
        <v>-9</v>
      </c>
      <c r="Z21" s="11">
        <f t="shared" si="10"/>
        <v>-16</v>
      </c>
      <c r="AA21" s="7" t="s">
        <v>63</v>
      </c>
      <c r="AB21" s="12" t="s">
        <v>64</v>
      </c>
      <c r="AC21" s="12" t="s">
        <v>65</v>
      </c>
    </row>
    <row r="22" spans="1:29" ht="32">
      <c r="A22" s="7" t="s">
        <v>14</v>
      </c>
      <c r="B22" s="7" t="s">
        <v>107</v>
      </c>
      <c r="C22" s="7" t="s">
        <v>95</v>
      </c>
      <c r="D22" s="7" t="s">
        <v>108</v>
      </c>
      <c r="E22" s="7" t="s">
        <v>62</v>
      </c>
      <c r="F22" s="11">
        <v>-153</v>
      </c>
      <c r="G22" s="11">
        <v>-125</v>
      </c>
      <c r="H22" s="11">
        <v>-143</v>
      </c>
      <c r="I22" s="11">
        <v>-131</v>
      </c>
      <c r="J22" s="11"/>
      <c r="K22" s="11">
        <v>-151</v>
      </c>
      <c r="L22" s="11">
        <v>-153</v>
      </c>
      <c r="M22" s="11"/>
      <c r="N22" s="11"/>
      <c r="O22" s="11">
        <v>-57</v>
      </c>
      <c r="P22" s="11" t="str">
        <f t="shared" si="0"/>
        <v/>
      </c>
      <c r="Q22" s="11" t="str">
        <f t="shared" si="1"/>
        <v/>
      </c>
      <c r="R22" s="11" t="str">
        <f t="shared" si="2"/>
        <v/>
      </c>
      <c r="S22" s="11" t="str">
        <f t="shared" si="3"/>
        <v/>
      </c>
      <c r="T22" s="11" t="str">
        <f t="shared" si="4"/>
        <v/>
      </c>
      <c r="U22" s="11" t="str">
        <f t="shared" si="5"/>
        <v/>
      </c>
      <c r="V22" s="11" t="str">
        <f t="shared" si="6"/>
        <v/>
      </c>
      <c r="W22" s="11">
        <f t="shared" si="7"/>
        <v>-99.681866383881214</v>
      </c>
      <c r="X22" s="11">
        <f t="shared" si="8"/>
        <v>-101.80275715800636</v>
      </c>
      <c r="Y22" s="11" t="str">
        <f t="shared" si="9"/>
        <v/>
      </c>
      <c r="Z22" s="11">
        <f t="shared" si="10"/>
        <v>-2</v>
      </c>
      <c r="AA22" s="7" t="s">
        <v>63</v>
      </c>
      <c r="AB22" s="12" t="s">
        <v>64</v>
      </c>
      <c r="AC22" s="12" t="s">
        <v>65</v>
      </c>
    </row>
    <row r="23" spans="1:29" ht="32">
      <c r="A23" s="7" t="s">
        <v>14</v>
      </c>
      <c r="B23" s="7" t="s">
        <v>109</v>
      </c>
      <c r="C23" s="7" t="s">
        <v>95</v>
      </c>
      <c r="D23" s="7" t="s">
        <v>110</v>
      </c>
      <c r="E23" s="7" t="s">
        <v>62</v>
      </c>
      <c r="F23" s="11">
        <v>-140</v>
      </c>
      <c r="G23" s="11">
        <v>-145</v>
      </c>
      <c r="H23" s="11">
        <v>-141</v>
      </c>
      <c r="I23" s="11">
        <v>-151</v>
      </c>
      <c r="J23" s="11"/>
      <c r="K23" s="11"/>
      <c r="L23" s="11">
        <v>-157</v>
      </c>
      <c r="M23" s="11"/>
      <c r="N23" s="11"/>
      <c r="O23" s="11">
        <v>-57</v>
      </c>
      <c r="P23" s="11" t="str">
        <f t="shared" si="0"/>
        <v/>
      </c>
      <c r="Q23" s="11" t="str">
        <f t="shared" si="1"/>
        <v/>
      </c>
      <c r="R23" s="11" t="str">
        <f t="shared" si="2"/>
        <v/>
      </c>
      <c r="S23" s="11" t="str">
        <f t="shared" si="3"/>
        <v/>
      </c>
      <c r="T23" s="11" t="str">
        <f t="shared" si="4"/>
        <v/>
      </c>
      <c r="U23" s="11" t="str">
        <f t="shared" si="5"/>
        <v/>
      </c>
      <c r="V23" s="11" t="str">
        <f t="shared" si="6"/>
        <v/>
      </c>
      <c r="W23" s="11" t="str">
        <f t="shared" si="7"/>
        <v/>
      </c>
      <c r="X23" s="11">
        <f t="shared" si="8"/>
        <v>-106.04453870625663</v>
      </c>
      <c r="Y23" s="11" t="str">
        <f t="shared" si="9"/>
        <v/>
      </c>
      <c r="Z23" s="11" t="str">
        <f t="shared" si="10"/>
        <v/>
      </c>
      <c r="AA23" s="7" t="s">
        <v>63</v>
      </c>
      <c r="AB23" s="12" t="s">
        <v>64</v>
      </c>
      <c r="AC23" s="12" t="s">
        <v>65</v>
      </c>
    </row>
    <row r="24" spans="1:29" ht="32">
      <c r="A24" s="7" t="s">
        <v>14</v>
      </c>
      <c r="B24" s="7" t="s">
        <v>111</v>
      </c>
      <c r="C24" s="7" t="s">
        <v>95</v>
      </c>
      <c r="D24" s="7" t="s">
        <v>112</v>
      </c>
      <c r="E24" s="7" t="s">
        <v>62</v>
      </c>
      <c r="F24" s="11">
        <v>-133</v>
      </c>
      <c r="G24" s="11">
        <v>-134</v>
      </c>
      <c r="H24" s="11">
        <v>-142</v>
      </c>
      <c r="I24" s="11">
        <v>-136</v>
      </c>
      <c r="J24" s="11">
        <v>-120</v>
      </c>
      <c r="K24" s="11">
        <v>-137</v>
      </c>
      <c r="L24" s="11">
        <v>-133</v>
      </c>
      <c r="M24" s="11"/>
      <c r="N24" s="11"/>
      <c r="O24" s="11">
        <v>-57</v>
      </c>
      <c r="P24" s="11" t="str">
        <f t="shared" si="0"/>
        <v/>
      </c>
      <c r="Q24" s="11" t="str">
        <f t="shared" si="1"/>
        <v/>
      </c>
      <c r="R24" s="11" t="str">
        <f t="shared" si="2"/>
        <v/>
      </c>
      <c r="S24" s="11" t="str">
        <f t="shared" si="3"/>
        <v/>
      </c>
      <c r="T24" s="11" t="str">
        <f t="shared" si="4"/>
        <v/>
      </c>
      <c r="U24" s="11" t="str">
        <f t="shared" si="5"/>
        <v/>
      </c>
      <c r="V24" s="11">
        <f t="shared" si="6"/>
        <v>-66.808059384941615</v>
      </c>
      <c r="W24" s="11">
        <f t="shared" si="7"/>
        <v>-84.835630965005237</v>
      </c>
      <c r="X24" s="11">
        <f t="shared" si="8"/>
        <v>-80.593849416754963</v>
      </c>
      <c r="Y24" s="11">
        <f t="shared" si="9"/>
        <v>-17</v>
      </c>
      <c r="Z24" s="11">
        <f t="shared" si="10"/>
        <v>4</v>
      </c>
      <c r="AA24" s="7" t="s">
        <v>63</v>
      </c>
      <c r="AB24" s="12" t="s">
        <v>64</v>
      </c>
      <c r="AC24" s="12" t="s">
        <v>65</v>
      </c>
    </row>
    <row r="25" spans="1:29" ht="32">
      <c r="A25" s="7" t="s">
        <v>14</v>
      </c>
      <c r="B25" s="7" t="s">
        <v>113</v>
      </c>
      <c r="C25" s="7" t="s">
        <v>95</v>
      </c>
      <c r="D25" s="7" t="s">
        <v>114</v>
      </c>
      <c r="E25" s="7" t="s">
        <v>62</v>
      </c>
      <c r="F25" s="11">
        <v>-160</v>
      </c>
      <c r="G25" s="11">
        <v>-160</v>
      </c>
      <c r="H25" s="11">
        <v>-159</v>
      </c>
      <c r="I25" s="11">
        <v>-165</v>
      </c>
      <c r="J25" s="11">
        <v>-148</v>
      </c>
      <c r="K25" s="11">
        <v>-153</v>
      </c>
      <c r="L25" s="11">
        <v>-161</v>
      </c>
      <c r="M25" s="11"/>
      <c r="N25" s="11"/>
      <c r="O25" s="11">
        <v>-57</v>
      </c>
      <c r="P25" s="11" t="str">
        <f t="shared" si="0"/>
        <v/>
      </c>
      <c r="Q25" s="11" t="str">
        <f t="shared" si="1"/>
        <v/>
      </c>
      <c r="R25" s="11" t="str">
        <f t="shared" si="2"/>
        <v/>
      </c>
      <c r="S25" s="11" t="str">
        <f t="shared" si="3"/>
        <v/>
      </c>
      <c r="T25" s="11" t="str">
        <f t="shared" si="4"/>
        <v/>
      </c>
      <c r="U25" s="11" t="str">
        <f t="shared" si="5"/>
        <v/>
      </c>
      <c r="V25" s="11">
        <f t="shared" si="6"/>
        <v>-96.500530222693556</v>
      </c>
      <c r="W25" s="11">
        <f t="shared" si="7"/>
        <v>-101.80275715800636</v>
      </c>
      <c r="X25" s="11">
        <f t="shared" si="8"/>
        <v>-110.2863202545069</v>
      </c>
      <c r="Y25" s="11">
        <f t="shared" si="9"/>
        <v>-5</v>
      </c>
      <c r="Z25" s="11">
        <f t="shared" si="10"/>
        <v>-8</v>
      </c>
      <c r="AA25" s="7" t="s">
        <v>63</v>
      </c>
      <c r="AB25" s="12" t="s">
        <v>64</v>
      </c>
      <c r="AC25" s="12" t="s">
        <v>65</v>
      </c>
    </row>
    <row r="26" spans="1:29" ht="32">
      <c r="A26" s="7" t="s">
        <v>14</v>
      </c>
      <c r="B26" s="7" t="s">
        <v>115</v>
      </c>
      <c r="C26" s="7" t="s">
        <v>95</v>
      </c>
      <c r="D26" s="7" t="s">
        <v>116</v>
      </c>
      <c r="E26" s="7" t="s">
        <v>62</v>
      </c>
      <c r="F26" s="11">
        <v>-148</v>
      </c>
      <c r="G26" s="11">
        <v>-162</v>
      </c>
      <c r="H26" s="11">
        <v>-161</v>
      </c>
      <c r="I26" s="11">
        <v>-160</v>
      </c>
      <c r="J26" s="11">
        <v>-171</v>
      </c>
      <c r="K26" s="11">
        <v>-171</v>
      </c>
      <c r="L26" s="11">
        <v>-154</v>
      </c>
      <c r="M26" s="11"/>
      <c r="N26" s="11"/>
      <c r="O26" s="11">
        <v>-57</v>
      </c>
      <c r="P26" s="11" t="str">
        <f t="shared" si="0"/>
        <v/>
      </c>
      <c r="Q26" s="11" t="str">
        <f t="shared" si="1"/>
        <v/>
      </c>
      <c r="R26" s="11" t="str">
        <f t="shared" si="2"/>
        <v/>
      </c>
      <c r="S26" s="11" t="str">
        <f t="shared" si="3"/>
        <v/>
      </c>
      <c r="T26" s="11" t="str">
        <f t="shared" si="4"/>
        <v/>
      </c>
      <c r="U26" s="11" t="str">
        <f t="shared" si="5"/>
        <v/>
      </c>
      <c r="V26" s="11">
        <f t="shared" si="6"/>
        <v>-120.89077412513261</v>
      </c>
      <c r="W26" s="11">
        <f t="shared" si="7"/>
        <v>-120.89077412513261</v>
      </c>
      <c r="X26" s="11">
        <f t="shared" si="8"/>
        <v>-102.86320254506887</v>
      </c>
      <c r="Y26" s="11">
        <f t="shared" si="9"/>
        <v>0</v>
      </c>
      <c r="Z26" s="11">
        <f t="shared" si="10"/>
        <v>17</v>
      </c>
      <c r="AA26" s="7" t="s">
        <v>63</v>
      </c>
      <c r="AB26" s="12" t="s">
        <v>64</v>
      </c>
      <c r="AC26" s="12" t="s">
        <v>65</v>
      </c>
    </row>
    <row r="27" spans="1:29" ht="32">
      <c r="A27" s="7" t="s">
        <v>14</v>
      </c>
      <c r="B27" s="7" t="s">
        <v>117</v>
      </c>
      <c r="C27" s="7" t="s">
        <v>95</v>
      </c>
      <c r="D27" s="7" t="s">
        <v>118</v>
      </c>
      <c r="E27" s="7" t="s">
        <v>62</v>
      </c>
      <c r="F27" s="11">
        <v>-142</v>
      </c>
      <c r="G27" s="11">
        <v>-145</v>
      </c>
      <c r="H27" s="11">
        <v>-148</v>
      </c>
      <c r="I27" s="11">
        <v>-158</v>
      </c>
      <c r="J27" s="11">
        <v>-165</v>
      </c>
      <c r="K27" s="11">
        <v>-160</v>
      </c>
      <c r="L27" s="11">
        <v>-137</v>
      </c>
      <c r="M27" s="11"/>
      <c r="N27" s="11"/>
      <c r="O27" s="11">
        <v>-57</v>
      </c>
      <c r="P27" s="11" t="str">
        <f t="shared" si="0"/>
        <v/>
      </c>
      <c r="Q27" s="11" t="str">
        <f t="shared" si="1"/>
        <v/>
      </c>
      <c r="R27" s="11" t="str">
        <f t="shared" si="2"/>
        <v/>
      </c>
      <c r="S27" s="11" t="str">
        <f t="shared" si="3"/>
        <v/>
      </c>
      <c r="T27" s="11" t="str">
        <f t="shared" si="4"/>
        <v/>
      </c>
      <c r="U27" s="11" t="str">
        <f t="shared" si="5"/>
        <v/>
      </c>
      <c r="V27" s="11">
        <f t="shared" si="6"/>
        <v>-114.52810180275719</v>
      </c>
      <c r="W27" s="11">
        <f t="shared" si="7"/>
        <v>-109.22587486744429</v>
      </c>
      <c r="X27" s="11">
        <f t="shared" si="8"/>
        <v>-84.835630965005237</v>
      </c>
      <c r="Y27" s="11">
        <f t="shared" si="9"/>
        <v>5</v>
      </c>
      <c r="Z27" s="11">
        <f t="shared" si="10"/>
        <v>23</v>
      </c>
      <c r="AA27" s="7" t="s">
        <v>63</v>
      </c>
      <c r="AB27" s="12" t="s">
        <v>64</v>
      </c>
      <c r="AC27" s="12" t="s">
        <v>65</v>
      </c>
    </row>
    <row r="28" spans="1:29" ht="32">
      <c r="A28" s="7" t="s">
        <v>14</v>
      </c>
      <c r="B28" s="7" t="s">
        <v>119</v>
      </c>
      <c r="C28" s="7" t="s">
        <v>95</v>
      </c>
      <c r="D28" s="7" t="s">
        <v>120</v>
      </c>
      <c r="E28" s="7" t="s">
        <v>87</v>
      </c>
      <c r="F28" s="11">
        <v>-169</v>
      </c>
      <c r="G28" s="11">
        <v>-119</v>
      </c>
      <c r="H28" s="11">
        <v>-123</v>
      </c>
      <c r="I28" s="11">
        <v>-140</v>
      </c>
      <c r="J28" s="11">
        <v>-141</v>
      </c>
      <c r="K28" s="11">
        <v>-146</v>
      </c>
      <c r="L28" s="11"/>
      <c r="M28" s="11"/>
      <c r="N28" s="11"/>
      <c r="O28" s="11">
        <v>-57</v>
      </c>
      <c r="P28" s="11" t="str">
        <f t="shared" si="0"/>
        <v/>
      </c>
      <c r="Q28" s="11" t="str">
        <f t="shared" si="1"/>
        <v/>
      </c>
      <c r="R28" s="11" t="str">
        <f t="shared" si="2"/>
        <v/>
      </c>
      <c r="S28" s="11" t="str">
        <f t="shared" si="3"/>
        <v/>
      </c>
      <c r="T28" s="11" t="str">
        <f t="shared" si="4"/>
        <v/>
      </c>
      <c r="U28" s="11" t="str">
        <f t="shared" si="5"/>
        <v/>
      </c>
      <c r="V28" s="11">
        <f t="shared" si="6"/>
        <v>-89.07741251325551</v>
      </c>
      <c r="W28" s="11">
        <f t="shared" si="7"/>
        <v>-94.379639448568426</v>
      </c>
      <c r="X28" s="11" t="str">
        <f t="shared" si="8"/>
        <v/>
      </c>
      <c r="Y28" s="11">
        <f t="shared" si="9"/>
        <v>-5</v>
      </c>
      <c r="Z28" s="11" t="str">
        <f t="shared" si="10"/>
        <v/>
      </c>
      <c r="AA28" s="7" t="s">
        <v>63</v>
      </c>
      <c r="AB28" s="12" t="s">
        <v>64</v>
      </c>
      <c r="AC28" s="12" t="s">
        <v>65</v>
      </c>
    </row>
    <row r="29" spans="1:29" ht="32">
      <c r="A29" s="7" t="s">
        <v>14</v>
      </c>
      <c r="B29" s="7" t="s">
        <v>121</v>
      </c>
      <c r="C29" s="7" t="s">
        <v>95</v>
      </c>
      <c r="D29" s="7" t="s">
        <v>122</v>
      </c>
      <c r="E29" s="7" t="s">
        <v>62</v>
      </c>
      <c r="F29" s="11">
        <v>-139</v>
      </c>
      <c r="G29" s="11">
        <v>-139</v>
      </c>
      <c r="H29" s="11">
        <v>-139</v>
      </c>
      <c r="I29" s="11">
        <v>-141</v>
      </c>
      <c r="J29" s="11">
        <v>-149</v>
      </c>
      <c r="K29" s="11">
        <v>-145</v>
      </c>
      <c r="L29" s="11">
        <v>-143</v>
      </c>
      <c r="M29" s="11"/>
      <c r="N29" s="11"/>
      <c r="O29" s="11">
        <v>-57</v>
      </c>
      <c r="P29" s="11" t="str">
        <f t="shared" si="0"/>
        <v/>
      </c>
      <c r="Q29" s="11" t="str">
        <f t="shared" si="1"/>
        <v/>
      </c>
      <c r="R29" s="11" t="str">
        <f t="shared" si="2"/>
        <v/>
      </c>
      <c r="S29" s="11" t="str">
        <f t="shared" si="3"/>
        <v/>
      </c>
      <c r="T29" s="11" t="str">
        <f t="shared" si="4"/>
        <v/>
      </c>
      <c r="U29" s="11" t="str">
        <f t="shared" si="5"/>
        <v/>
      </c>
      <c r="V29" s="11">
        <f t="shared" si="6"/>
        <v>-97.560975609756071</v>
      </c>
      <c r="W29" s="11">
        <f t="shared" si="7"/>
        <v>-93.319194061505797</v>
      </c>
      <c r="X29" s="11">
        <f t="shared" si="8"/>
        <v>-91.198303287380654</v>
      </c>
      <c r="Y29" s="11">
        <f t="shared" si="9"/>
        <v>4</v>
      </c>
      <c r="Z29" s="11">
        <f t="shared" si="10"/>
        <v>2</v>
      </c>
      <c r="AA29" s="7" t="s">
        <v>63</v>
      </c>
      <c r="AB29" s="12" t="s">
        <v>64</v>
      </c>
      <c r="AC29" s="12" t="s">
        <v>65</v>
      </c>
    </row>
    <row r="30" spans="1:29" ht="32">
      <c r="A30" s="7" t="s">
        <v>14</v>
      </c>
      <c r="B30" s="7" t="s">
        <v>123</v>
      </c>
      <c r="C30" s="7" t="s">
        <v>95</v>
      </c>
      <c r="D30" s="7" t="s">
        <v>124</v>
      </c>
      <c r="E30" s="7" t="s">
        <v>62</v>
      </c>
      <c r="F30" s="11">
        <v>-140</v>
      </c>
      <c r="G30" s="11">
        <v>-142</v>
      </c>
      <c r="H30" s="11">
        <v>-125</v>
      </c>
      <c r="I30" s="11">
        <v>-136</v>
      </c>
      <c r="J30" s="11"/>
      <c r="K30" s="11">
        <v>-139</v>
      </c>
      <c r="L30" s="11">
        <v>-152</v>
      </c>
      <c r="M30" s="11"/>
      <c r="N30" s="11"/>
      <c r="O30" s="11">
        <v>-57</v>
      </c>
      <c r="P30" s="11" t="str">
        <f t="shared" si="0"/>
        <v/>
      </c>
      <c r="Q30" s="11" t="str">
        <f t="shared" si="1"/>
        <v/>
      </c>
      <c r="R30" s="11" t="str">
        <f t="shared" si="2"/>
        <v/>
      </c>
      <c r="S30" s="11" t="str">
        <f t="shared" si="3"/>
        <v/>
      </c>
      <c r="T30" s="11" t="str">
        <f t="shared" si="4"/>
        <v/>
      </c>
      <c r="U30" s="11" t="str">
        <f t="shared" si="5"/>
        <v/>
      </c>
      <c r="V30" s="11" t="str">
        <f t="shared" si="6"/>
        <v/>
      </c>
      <c r="W30" s="11">
        <f t="shared" si="7"/>
        <v>-86.95652173913038</v>
      </c>
      <c r="X30" s="11">
        <f t="shared" si="8"/>
        <v>-100.74231177094373</v>
      </c>
      <c r="Y30" s="11" t="str">
        <f t="shared" si="9"/>
        <v/>
      </c>
      <c r="Z30" s="11">
        <f t="shared" si="10"/>
        <v>-13</v>
      </c>
      <c r="AA30" s="7" t="s">
        <v>63</v>
      </c>
      <c r="AB30" s="12" t="s">
        <v>64</v>
      </c>
      <c r="AC30" s="12" t="s">
        <v>65</v>
      </c>
    </row>
    <row r="31" spans="1:29" ht="32">
      <c r="A31" s="7" t="s">
        <v>14</v>
      </c>
      <c r="B31" s="7" t="s">
        <v>125</v>
      </c>
      <c r="C31" s="7" t="s">
        <v>126</v>
      </c>
      <c r="D31" s="7" t="s">
        <v>127</v>
      </c>
      <c r="E31" s="7" t="s">
        <v>87</v>
      </c>
      <c r="F31" s="11">
        <v>-135</v>
      </c>
      <c r="G31" s="11">
        <v>-144</v>
      </c>
      <c r="H31" s="11">
        <v>-141</v>
      </c>
      <c r="I31" s="11"/>
      <c r="J31" s="11">
        <v>-155</v>
      </c>
      <c r="K31" s="11">
        <v>-154</v>
      </c>
      <c r="L31" s="11">
        <v>-137</v>
      </c>
      <c r="M31" s="11">
        <v>-9.5</v>
      </c>
      <c r="N31" s="11">
        <v>-44.8</v>
      </c>
      <c r="O31" s="11">
        <v>-57</v>
      </c>
      <c r="P31" s="11">
        <f t="shared" si="0"/>
        <v>-115.36850921273034</v>
      </c>
      <c r="Q31" s="11">
        <f t="shared" si="1"/>
        <v>-114.32160804020108</v>
      </c>
      <c r="R31" s="11">
        <f t="shared" si="2"/>
        <v>-96.524288107202707</v>
      </c>
      <c r="S31" s="11">
        <f t="shared" si="3"/>
        <v>-146.8955073195356</v>
      </c>
      <c r="T31" s="11">
        <f t="shared" si="4"/>
        <v>-145.88591620393743</v>
      </c>
      <c r="U31" s="11">
        <f t="shared" si="5"/>
        <v>-128.72286723876834</v>
      </c>
      <c r="V31" s="11">
        <f t="shared" si="6"/>
        <v>-103.92364793213149</v>
      </c>
      <c r="W31" s="11">
        <f t="shared" si="7"/>
        <v>-102.86320254506887</v>
      </c>
      <c r="X31" s="11">
        <f t="shared" si="8"/>
        <v>-84.835630965005237</v>
      </c>
      <c r="Y31" s="11">
        <f t="shared" si="9"/>
        <v>1</v>
      </c>
      <c r="Z31" s="11">
        <f t="shared" si="10"/>
        <v>17</v>
      </c>
      <c r="AA31" s="7" t="s">
        <v>63</v>
      </c>
      <c r="AB31" s="12" t="s">
        <v>64</v>
      </c>
      <c r="AC31" s="12" t="s">
        <v>65</v>
      </c>
    </row>
    <row r="32" spans="1:29" ht="32">
      <c r="A32" s="7" t="s">
        <v>14</v>
      </c>
      <c r="B32" s="7" t="s">
        <v>128</v>
      </c>
      <c r="C32" s="7" t="s">
        <v>126</v>
      </c>
      <c r="D32" s="7" t="s">
        <v>129</v>
      </c>
      <c r="E32" s="7" t="s">
        <v>87</v>
      </c>
      <c r="F32" s="11"/>
      <c r="G32" s="11">
        <v>-147</v>
      </c>
      <c r="H32" s="11">
        <v>-137</v>
      </c>
      <c r="I32" s="11"/>
      <c r="J32" s="11">
        <v>-141</v>
      </c>
      <c r="K32" s="11">
        <v>-144</v>
      </c>
      <c r="L32" s="11">
        <v>-109</v>
      </c>
      <c r="M32" s="11">
        <v>-9.1</v>
      </c>
      <c r="N32" s="11">
        <v>-30.9</v>
      </c>
      <c r="O32" s="11">
        <v>-57</v>
      </c>
      <c r="P32" s="11">
        <f t="shared" si="0"/>
        <v>-113.61056650500467</v>
      </c>
      <c r="Q32" s="11">
        <f t="shared" si="1"/>
        <v>-116.70622226808381</v>
      </c>
      <c r="R32" s="11">
        <f t="shared" si="2"/>
        <v>-80.590238365493732</v>
      </c>
      <c r="S32" s="11">
        <f t="shared" si="3"/>
        <v>-133.11131294782518</v>
      </c>
      <c r="T32" s="11">
        <f t="shared" si="4"/>
        <v>-136.1388636592996</v>
      </c>
      <c r="U32" s="11">
        <f t="shared" si="5"/>
        <v>-100.81743869209802</v>
      </c>
      <c r="V32" s="11">
        <f t="shared" si="6"/>
        <v>-89.07741251325551</v>
      </c>
      <c r="W32" s="11">
        <f t="shared" si="7"/>
        <v>-92.258748674443282</v>
      </c>
      <c r="X32" s="11">
        <f t="shared" si="8"/>
        <v>-55.143160127253395</v>
      </c>
      <c r="Y32" s="11">
        <f t="shared" si="9"/>
        <v>-3</v>
      </c>
      <c r="Z32" s="11">
        <f t="shared" si="10"/>
        <v>35</v>
      </c>
      <c r="AA32" s="7" t="s">
        <v>63</v>
      </c>
      <c r="AB32" s="12" t="s">
        <v>64</v>
      </c>
      <c r="AC32" s="12" t="s">
        <v>65</v>
      </c>
    </row>
    <row r="33" spans="1:29" ht="32">
      <c r="A33" s="7" t="s">
        <v>14</v>
      </c>
      <c r="B33" s="7" t="s">
        <v>130</v>
      </c>
      <c r="C33" s="7" t="s">
        <v>126</v>
      </c>
      <c r="D33" s="7" t="s">
        <v>131</v>
      </c>
      <c r="E33" s="7" t="s">
        <v>87</v>
      </c>
      <c r="F33" s="11">
        <v>-162</v>
      </c>
      <c r="G33" s="11">
        <v>-155</v>
      </c>
      <c r="H33" s="11">
        <v>-143</v>
      </c>
      <c r="I33" s="11"/>
      <c r="J33" s="11">
        <v>-148</v>
      </c>
      <c r="K33" s="11">
        <v>-154</v>
      </c>
      <c r="L33" s="11">
        <v>-140</v>
      </c>
      <c r="M33" s="11">
        <v>-15.7</v>
      </c>
      <c r="N33" s="11">
        <v>-46.8</v>
      </c>
      <c r="O33" s="11">
        <v>-57</v>
      </c>
      <c r="P33" s="11">
        <f t="shared" si="0"/>
        <v>-106.1686949223668</v>
      </c>
      <c r="Q33" s="11">
        <f t="shared" si="1"/>
        <v>-112.46328157784313</v>
      </c>
      <c r="R33" s="11">
        <f t="shared" si="2"/>
        <v>-97.775912715065132</v>
      </c>
      <c r="S33" s="11">
        <f t="shared" si="3"/>
        <v>-134.41024078024986</v>
      </c>
      <c r="T33" s="11">
        <f t="shared" si="4"/>
        <v>-140.50594330996645</v>
      </c>
      <c r="U33" s="11">
        <f t="shared" si="5"/>
        <v>-126.2826374072945</v>
      </c>
      <c r="V33" s="11">
        <f t="shared" si="6"/>
        <v>-96.500530222693556</v>
      </c>
      <c r="W33" s="11">
        <f t="shared" si="7"/>
        <v>-102.86320254506887</v>
      </c>
      <c r="X33" s="11">
        <f t="shared" si="8"/>
        <v>-88.016967126193009</v>
      </c>
      <c r="Y33" s="11">
        <f t="shared" si="9"/>
        <v>-6</v>
      </c>
      <c r="Z33" s="11">
        <f t="shared" si="10"/>
        <v>14</v>
      </c>
      <c r="AA33" s="7" t="s">
        <v>63</v>
      </c>
      <c r="AB33" s="12" t="s">
        <v>64</v>
      </c>
      <c r="AC33" s="12" t="s">
        <v>65</v>
      </c>
    </row>
    <row r="34" spans="1:29" ht="32">
      <c r="A34" s="7" t="s">
        <v>14</v>
      </c>
      <c r="B34" s="7" t="s">
        <v>132</v>
      </c>
      <c r="C34" s="7" t="s">
        <v>126</v>
      </c>
      <c r="D34" s="7" t="s">
        <v>133</v>
      </c>
      <c r="E34" s="7" t="s">
        <v>87</v>
      </c>
      <c r="F34" s="11">
        <v>-158</v>
      </c>
      <c r="G34" s="11">
        <v>-141</v>
      </c>
      <c r="H34" s="11">
        <v>-133</v>
      </c>
      <c r="I34" s="11">
        <v>-137</v>
      </c>
      <c r="J34" s="11"/>
      <c r="K34" s="11"/>
      <c r="L34" s="11"/>
      <c r="M34" s="11">
        <v>-9.1999999999999993</v>
      </c>
      <c r="N34" s="11">
        <v>-36</v>
      </c>
      <c r="O34" s="11">
        <v>-57</v>
      </c>
      <c r="P34" s="11" t="str">
        <f t="shared" ref="P34:P65" si="11">IF(OR(J34="",N34=""),"",1000*((1+J34/1000)/(1+N34/1000)-1))</f>
        <v/>
      </c>
      <c r="Q34" s="11" t="str">
        <f t="shared" ref="Q34:Q65" si="12">IF(OR(K34="",N34=""),"",1000*((1+K34/1000)/(1+N34/1000)-1))</f>
        <v/>
      </c>
      <c r="R34" s="11" t="str">
        <f t="shared" ref="R34:R65" si="13">IF(OR(L34="",N34=""),"",1000*((1+L34/1000)/(1+N34/1000)-1))</f>
        <v/>
      </c>
      <c r="S34" s="11" t="str">
        <f t="shared" ref="S34:S65" si="14">IF(OR(J34="",M34=""),"",1000*((1+J34/1000)/(1+M34/1000)-1))</f>
        <v/>
      </c>
      <c r="T34" s="11" t="str">
        <f t="shared" ref="T34:T65" si="15">IF(OR(K34="",M34=""),"",1000*((1+K34/1000)/(1+M34/1000)-1))</f>
        <v/>
      </c>
      <c r="U34" s="11" t="str">
        <f t="shared" ref="U34:U65" si="16">IF(OR(L34="",M34=""),"",1000*((1+L34/1000)/(1+M34/1000)-1))</f>
        <v/>
      </c>
      <c r="V34" s="11" t="str">
        <f t="shared" ref="V34:V65" si="17">IF(J34="","",1000*((1+J34/1000)/(1+O34/1000)-1))</f>
        <v/>
      </c>
      <c r="W34" s="11" t="str">
        <f t="shared" ref="W34:W65" si="18">IF(K34="","",1000*((1+K34/1000)/(1+O34/1000)-1))</f>
        <v/>
      </c>
      <c r="X34" s="11" t="str">
        <f t="shared" ref="X34:X65" si="19">IF(L34="","",1000*((1+L34/1000)/(1+O34/1000)-1))</f>
        <v/>
      </c>
      <c r="Y34" s="11" t="str">
        <f t="shared" ref="Y34:Y65" si="20">IF(OR(J34="",K34=""),"",K34-J34)</f>
        <v/>
      </c>
      <c r="Z34" s="11" t="str">
        <f t="shared" ref="Z34:Z65" si="21">IF(OR(K34="",L34=""),"",L34-K34)</f>
        <v/>
      </c>
      <c r="AA34" s="7" t="s">
        <v>63</v>
      </c>
      <c r="AB34" s="12" t="s">
        <v>64</v>
      </c>
      <c r="AC34" s="12" t="s">
        <v>65</v>
      </c>
    </row>
    <row r="35" spans="1:29" ht="32">
      <c r="A35" s="7" t="s">
        <v>14</v>
      </c>
      <c r="B35" s="7" t="s">
        <v>134</v>
      </c>
      <c r="C35" s="7" t="s">
        <v>126</v>
      </c>
      <c r="D35" s="7" t="s">
        <v>135</v>
      </c>
      <c r="E35" s="7" t="s">
        <v>87</v>
      </c>
      <c r="F35" s="11">
        <v>-197</v>
      </c>
      <c r="G35" s="11">
        <v>-147</v>
      </c>
      <c r="H35" s="11">
        <v>-154</v>
      </c>
      <c r="I35" s="11">
        <v>-145</v>
      </c>
      <c r="J35" s="11">
        <v>-149</v>
      </c>
      <c r="K35" s="11">
        <v>-155</v>
      </c>
      <c r="L35" s="11">
        <v>-138</v>
      </c>
      <c r="M35" s="11">
        <v>-11.4</v>
      </c>
      <c r="N35" s="11">
        <v>-46.7</v>
      </c>
      <c r="O35" s="11">
        <v>-57</v>
      </c>
      <c r="P35" s="11">
        <f t="shared" si="11"/>
        <v>-107.31144445609996</v>
      </c>
      <c r="Q35" s="11">
        <f t="shared" si="12"/>
        <v>-113.60537081716149</v>
      </c>
      <c r="R35" s="11">
        <f t="shared" si="13"/>
        <v>-95.77257946082041</v>
      </c>
      <c r="S35" s="11">
        <f t="shared" si="14"/>
        <v>-139.18672870726289</v>
      </c>
      <c r="T35" s="11">
        <f t="shared" si="15"/>
        <v>-145.25591745903299</v>
      </c>
      <c r="U35" s="11">
        <f t="shared" si="16"/>
        <v>-128.05988266235079</v>
      </c>
      <c r="V35" s="11">
        <f t="shared" si="17"/>
        <v>-97.560975609756071</v>
      </c>
      <c r="W35" s="11">
        <f t="shared" si="18"/>
        <v>-103.92364793213149</v>
      </c>
      <c r="X35" s="11">
        <f t="shared" si="19"/>
        <v>-85.896076352067865</v>
      </c>
      <c r="Y35" s="11">
        <f t="shared" si="20"/>
        <v>-6</v>
      </c>
      <c r="Z35" s="11">
        <f t="shared" si="21"/>
        <v>17</v>
      </c>
      <c r="AA35" s="7" t="s">
        <v>63</v>
      </c>
      <c r="AB35" s="12" t="s">
        <v>64</v>
      </c>
      <c r="AC35" s="12" t="s">
        <v>65</v>
      </c>
    </row>
    <row r="36" spans="1:29" ht="32">
      <c r="A36" s="7" t="s">
        <v>14</v>
      </c>
      <c r="B36" s="7" t="s">
        <v>136</v>
      </c>
      <c r="C36" s="7" t="s">
        <v>126</v>
      </c>
      <c r="D36" s="7" t="s">
        <v>137</v>
      </c>
      <c r="E36" s="7" t="s">
        <v>138</v>
      </c>
      <c r="F36" s="11">
        <v>-129</v>
      </c>
      <c r="G36" s="11">
        <v>-124</v>
      </c>
      <c r="H36" s="11">
        <v>-141</v>
      </c>
      <c r="I36" s="11"/>
      <c r="J36" s="11">
        <v>-133</v>
      </c>
      <c r="K36" s="11">
        <v>-139</v>
      </c>
      <c r="L36" s="11">
        <v>-143</v>
      </c>
      <c r="M36" s="11">
        <v>-9.6999999999999993</v>
      </c>
      <c r="N36" s="11">
        <v>-43.7</v>
      </c>
      <c r="O36" s="11">
        <v>-57</v>
      </c>
      <c r="P36" s="11">
        <f t="shared" si="11"/>
        <v>-93.380738262051736</v>
      </c>
      <c r="Q36" s="11">
        <f t="shared" si="12"/>
        <v>-99.654920004182856</v>
      </c>
      <c r="R36" s="11">
        <f t="shared" si="13"/>
        <v>-103.83770783227031</v>
      </c>
      <c r="S36" s="11">
        <f t="shared" si="14"/>
        <v>-124.50772493183881</v>
      </c>
      <c r="T36" s="11">
        <f t="shared" si="15"/>
        <v>-130.56649500151462</v>
      </c>
      <c r="U36" s="11">
        <f t="shared" si="16"/>
        <v>-134.60567504796529</v>
      </c>
      <c r="V36" s="11">
        <f t="shared" si="17"/>
        <v>-80.593849416754963</v>
      </c>
      <c r="W36" s="11">
        <f t="shared" si="18"/>
        <v>-86.95652173913038</v>
      </c>
      <c r="X36" s="11">
        <f t="shared" si="19"/>
        <v>-91.198303287380654</v>
      </c>
      <c r="Y36" s="11">
        <f t="shared" si="20"/>
        <v>-6</v>
      </c>
      <c r="Z36" s="11">
        <f t="shared" si="21"/>
        <v>-4</v>
      </c>
      <c r="AA36" s="7" t="s">
        <v>63</v>
      </c>
      <c r="AB36" s="12" t="s">
        <v>64</v>
      </c>
      <c r="AC36" s="12" t="s">
        <v>65</v>
      </c>
    </row>
    <row r="37" spans="1:29" ht="32">
      <c r="A37" s="7" t="s">
        <v>14</v>
      </c>
      <c r="B37" s="7" t="s">
        <v>139</v>
      </c>
      <c r="C37" s="7" t="s">
        <v>126</v>
      </c>
      <c r="D37" s="7" t="s">
        <v>140</v>
      </c>
      <c r="E37" s="7" t="s">
        <v>87</v>
      </c>
      <c r="F37" s="11">
        <v>-183</v>
      </c>
      <c r="G37" s="11">
        <v>-177</v>
      </c>
      <c r="H37" s="11">
        <v>-180</v>
      </c>
      <c r="I37" s="11">
        <v>-178</v>
      </c>
      <c r="J37" s="11">
        <v>-151</v>
      </c>
      <c r="K37" s="11">
        <v>-173</v>
      </c>
      <c r="L37" s="11">
        <v>-172</v>
      </c>
      <c r="M37" s="11">
        <v>-13.5</v>
      </c>
      <c r="N37" s="11">
        <v>-50.7</v>
      </c>
      <c r="O37" s="11">
        <v>-57</v>
      </c>
      <c r="P37" s="11">
        <f t="shared" si="11"/>
        <v>-105.65679974718223</v>
      </c>
      <c r="Q37" s="11">
        <f t="shared" si="12"/>
        <v>-128.83177077846841</v>
      </c>
      <c r="R37" s="11">
        <f t="shared" si="13"/>
        <v>-127.77836300431889</v>
      </c>
      <c r="S37" s="11">
        <f t="shared" si="14"/>
        <v>-139.38165230613288</v>
      </c>
      <c r="T37" s="11">
        <f t="shared" si="15"/>
        <v>-161.68271667511414</v>
      </c>
      <c r="U37" s="11">
        <f t="shared" si="16"/>
        <v>-160.66903193106941</v>
      </c>
      <c r="V37" s="11">
        <f t="shared" si="17"/>
        <v>-99.681866383881214</v>
      </c>
      <c r="W37" s="11">
        <f t="shared" si="18"/>
        <v>-123.01166489925764</v>
      </c>
      <c r="X37" s="11">
        <f t="shared" si="19"/>
        <v>-121.95121951219501</v>
      </c>
      <c r="Y37" s="11">
        <f t="shared" si="20"/>
        <v>-22</v>
      </c>
      <c r="Z37" s="11">
        <f t="shared" si="21"/>
        <v>1</v>
      </c>
      <c r="AA37" s="7" t="s">
        <v>63</v>
      </c>
      <c r="AB37" s="12" t="s">
        <v>64</v>
      </c>
      <c r="AC37" s="12" t="s">
        <v>65</v>
      </c>
    </row>
    <row r="38" spans="1:29" ht="32">
      <c r="A38" s="7" t="s">
        <v>14</v>
      </c>
      <c r="B38" s="7" t="s">
        <v>141</v>
      </c>
      <c r="C38" s="7" t="s">
        <v>142</v>
      </c>
      <c r="D38" s="7" t="s">
        <v>143</v>
      </c>
      <c r="E38" s="7" t="s">
        <v>144</v>
      </c>
      <c r="F38" s="11">
        <v>-149</v>
      </c>
      <c r="G38" s="11">
        <v>-138</v>
      </c>
      <c r="H38" s="11">
        <v>-154</v>
      </c>
      <c r="I38" s="11">
        <v>-147</v>
      </c>
      <c r="J38" s="11">
        <v>-147</v>
      </c>
      <c r="K38" s="11">
        <v>-161</v>
      </c>
      <c r="L38" s="11">
        <v>-146</v>
      </c>
      <c r="M38" s="11">
        <v>-87.9</v>
      </c>
      <c r="N38" s="11">
        <v>-58.3</v>
      </c>
      <c r="O38" s="11">
        <v>-57</v>
      </c>
      <c r="P38" s="11">
        <f t="shared" si="11"/>
        <v>-94.191356058192625</v>
      </c>
      <c r="Q38" s="11">
        <f t="shared" si="12"/>
        <v>-109.05808643941806</v>
      </c>
      <c r="R38" s="11">
        <f t="shared" si="13"/>
        <v>-93.129446745247918</v>
      </c>
      <c r="S38" s="11">
        <f t="shared" si="14"/>
        <v>-64.795526806271326</v>
      </c>
      <c r="T38" s="11">
        <f t="shared" si="15"/>
        <v>-80.144720973577506</v>
      </c>
      <c r="U38" s="11">
        <f t="shared" si="16"/>
        <v>-63.699155794320838</v>
      </c>
      <c r="V38" s="11">
        <f t="shared" si="17"/>
        <v>-95.440084835630927</v>
      </c>
      <c r="W38" s="11">
        <f t="shared" si="18"/>
        <v>-110.2863202545069</v>
      </c>
      <c r="X38" s="11">
        <f t="shared" si="19"/>
        <v>-94.379639448568426</v>
      </c>
      <c r="Y38" s="11">
        <f t="shared" si="20"/>
        <v>-14</v>
      </c>
      <c r="Z38" s="11">
        <f t="shared" si="21"/>
        <v>15</v>
      </c>
      <c r="AA38" s="7" t="s">
        <v>63</v>
      </c>
      <c r="AB38" s="12" t="s">
        <v>64</v>
      </c>
      <c r="AC38" s="12" t="s">
        <v>65</v>
      </c>
    </row>
    <row r="39" spans="1:29" ht="32">
      <c r="A39" s="7" t="s">
        <v>14</v>
      </c>
      <c r="B39" s="7" t="s">
        <v>145</v>
      </c>
      <c r="C39" s="7" t="s">
        <v>142</v>
      </c>
      <c r="D39" s="7" t="s">
        <v>146</v>
      </c>
      <c r="E39" s="7" t="s">
        <v>62</v>
      </c>
      <c r="F39" s="11">
        <v>-152</v>
      </c>
      <c r="G39" s="11">
        <v>-169</v>
      </c>
      <c r="H39" s="11">
        <v>-187</v>
      </c>
      <c r="I39" s="11">
        <v>-178</v>
      </c>
      <c r="J39" s="11">
        <v>-154</v>
      </c>
      <c r="K39" s="11">
        <v>-154</v>
      </c>
      <c r="L39" s="11">
        <v>-165</v>
      </c>
      <c r="M39" s="11">
        <v>-53</v>
      </c>
      <c r="N39" s="11">
        <v>-50.1</v>
      </c>
      <c r="O39" s="11">
        <v>-57</v>
      </c>
      <c r="P39" s="11">
        <f t="shared" si="11"/>
        <v>-109.37993472997154</v>
      </c>
      <c r="Q39" s="11">
        <f t="shared" si="12"/>
        <v>-109.37993472997154</v>
      </c>
      <c r="R39" s="11">
        <f t="shared" si="13"/>
        <v>-120.96010106326982</v>
      </c>
      <c r="S39" s="11">
        <f t="shared" si="14"/>
        <v>-106.65258711721226</v>
      </c>
      <c r="T39" s="11">
        <f t="shared" si="15"/>
        <v>-106.65258711721226</v>
      </c>
      <c r="U39" s="11">
        <f t="shared" si="16"/>
        <v>-118.26821541710663</v>
      </c>
      <c r="V39" s="11">
        <f t="shared" si="17"/>
        <v>-102.86320254506887</v>
      </c>
      <c r="W39" s="11">
        <f t="shared" si="18"/>
        <v>-102.86320254506887</v>
      </c>
      <c r="X39" s="11">
        <f t="shared" si="19"/>
        <v>-114.52810180275719</v>
      </c>
      <c r="Y39" s="11">
        <f t="shared" si="20"/>
        <v>0</v>
      </c>
      <c r="Z39" s="11">
        <f t="shared" si="21"/>
        <v>-11</v>
      </c>
      <c r="AA39" s="7" t="s">
        <v>63</v>
      </c>
      <c r="AB39" s="12" t="s">
        <v>64</v>
      </c>
      <c r="AC39" s="12" t="s">
        <v>65</v>
      </c>
    </row>
    <row r="40" spans="1:29" ht="32">
      <c r="A40" s="7" t="s">
        <v>14</v>
      </c>
      <c r="B40" s="7" t="s">
        <v>147</v>
      </c>
      <c r="C40" s="7" t="s">
        <v>142</v>
      </c>
      <c r="D40" s="7" t="s">
        <v>148</v>
      </c>
      <c r="E40" s="7" t="s">
        <v>62</v>
      </c>
      <c r="F40" s="11">
        <v>-152</v>
      </c>
      <c r="G40" s="11">
        <v>-156</v>
      </c>
      <c r="H40" s="11">
        <v>-147</v>
      </c>
      <c r="I40" s="11">
        <v>-138</v>
      </c>
      <c r="J40" s="11">
        <v>-160</v>
      </c>
      <c r="K40" s="11">
        <v>-148</v>
      </c>
      <c r="L40" s="11"/>
      <c r="M40" s="11">
        <v>-21.1</v>
      </c>
      <c r="N40" s="11">
        <v>-32.299999999999997</v>
      </c>
      <c r="O40" s="11">
        <v>-57</v>
      </c>
      <c r="P40" s="11">
        <f t="shared" si="11"/>
        <v>-131.96238503668499</v>
      </c>
      <c r="Q40" s="11">
        <f t="shared" si="12"/>
        <v>-119.56184768006617</v>
      </c>
      <c r="R40" s="11" t="str">
        <f t="shared" si="13"/>
        <v/>
      </c>
      <c r="S40" s="11">
        <f t="shared" si="14"/>
        <v>-141.89396261109411</v>
      </c>
      <c r="T40" s="11">
        <f t="shared" si="15"/>
        <v>-129.63530493410968</v>
      </c>
      <c r="U40" s="11" t="str">
        <f t="shared" si="16"/>
        <v/>
      </c>
      <c r="V40" s="11">
        <f t="shared" si="17"/>
        <v>-109.22587486744429</v>
      </c>
      <c r="W40" s="11">
        <f t="shared" si="18"/>
        <v>-96.500530222693556</v>
      </c>
      <c r="X40" s="11" t="str">
        <f t="shared" si="19"/>
        <v/>
      </c>
      <c r="Y40" s="11">
        <f t="shared" si="20"/>
        <v>12</v>
      </c>
      <c r="Z40" s="11" t="str">
        <f t="shared" si="21"/>
        <v/>
      </c>
      <c r="AA40" s="7" t="s">
        <v>63</v>
      </c>
      <c r="AB40" s="12" t="s">
        <v>64</v>
      </c>
      <c r="AC40" s="12" t="s">
        <v>65</v>
      </c>
    </row>
    <row r="41" spans="1:29" ht="32">
      <c r="A41" s="7" t="s">
        <v>14</v>
      </c>
      <c r="B41" s="7" t="s">
        <v>149</v>
      </c>
      <c r="C41" s="7" t="s">
        <v>142</v>
      </c>
      <c r="D41" s="7" t="s">
        <v>150</v>
      </c>
      <c r="E41" s="7" t="s">
        <v>62</v>
      </c>
      <c r="F41" s="11">
        <v>-149</v>
      </c>
      <c r="G41" s="11">
        <v>-145</v>
      </c>
      <c r="H41" s="11">
        <v>-160</v>
      </c>
      <c r="I41" s="11">
        <v>-156</v>
      </c>
      <c r="J41" s="11">
        <v>-151</v>
      </c>
      <c r="K41" s="11">
        <v>-157</v>
      </c>
      <c r="L41" s="11">
        <v>-157</v>
      </c>
      <c r="M41" s="11">
        <v>-30.2</v>
      </c>
      <c r="N41" s="11">
        <v>-46.2</v>
      </c>
      <c r="O41" s="11">
        <v>-57</v>
      </c>
      <c r="P41" s="11">
        <f t="shared" si="11"/>
        <v>-109.8762843363389</v>
      </c>
      <c r="Q41" s="11">
        <f t="shared" si="12"/>
        <v>-116.16691130215983</v>
      </c>
      <c r="R41" s="11">
        <f t="shared" si="13"/>
        <v>-116.16691130215983</v>
      </c>
      <c r="S41" s="11">
        <f t="shared" si="14"/>
        <v>-124.56176531243557</v>
      </c>
      <c r="T41" s="11">
        <f t="shared" si="15"/>
        <v>-130.74860796040423</v>
      </c>
      <c r="U41" s="11">
        <f t="shared" si="16"/>
        <v>-130.74860796040423</v>
      </c>
      <c r="V41" s="11">
        <f t="shared" si="17"/>
        <v>-99.681866383881214</v>
      </c>
      <c r="W41" s="11">
        <f t="shared" si="18"/>
        <v>-106.04453870625663</v>
      </c>
      <c r="X41" s="11">
        <f t="shared" si="19"/>
        <v>-106.04453870625663</v>
      </c>
      <c r="Y41" s="11">
        <f t="shared" si="20"/>
        <v>-6</v>
      </c>
      <c r="Z41" s="11">
        <f t="shared" si="21"/>
        <v>0</v>
      </c>
      <c r="AA41" s="7" t="s">
        <v>63</v>
      </c>
      <c r="AB41" s="12" t="s">
        <v>64</v>
      </c>
      <c r="AC41" s="12" t="s">
        <v>65</v>
      </c>
    </row>
    <row r="42" spans="1:29" ht="32">
      <c r="A42" s="7" t="s">
        <v>14</v>
      </c>
      <c r="B42" s="7" t="s">
        <v>151</v>
      </c>
      <c r="C42" s="7" t="s">
        <v>142</v>
      </c>
      <c r="D42" s="7" t="s">
        <v>152</v>
      </c>
      <c r="E42" s="7" t="s">
        <v>62</v>
      </c>
      <c r="F42" s="11">
        <v>-166</v>
      </c>
      <c r="G42" s="11">
        <v>-170</v>
      </c>
      <c r="H42" s="11">
        <v>-158</v>
      </c>
      <c r="I42" s="11">
        <v>-153</v>
      </c>
      <c r="J42" s="11"/>
      <c r="K42" s="11"/>
      <c r="L42" s="11">
        <v>-141</v>
      </c>
      <c r="M42" s="11">
        <v>-41.3</v>
      </c>
      <c r="N42" s="11">
        <v>-47.5</v>
      </c>
      <c r="O42" s="11">
        <v>-57</v>
      </c>
      <c r="P42" s="11" t="str">
        <f t="shared" si="11"/>
        <v/>
      </c>
      <c r="Q42" s="11" t="str">
        <f t="shared" si="12"/>
        <v/>
      </c>
      <c r="R42" s="11">
        <f t="shared" si="13"/>
        <v>-98.162729658792685</v>
      </c>
      <c r="S42" s="11" t="str">
        <f t="shared" si="14"/>
        <v/>
      </c>
      <c r="T42" s="11" t="str">
        <f t="shared" si="15"/>
        <v/>
      </c>
      <c r="U42" s="11">
        <f t="shared" si="16"/>
        <v>-103.9949932199854</v>
      </c>
      <c r="V42" s="11" t="str">
        <f t="shared" si="17"/>
        <v/>
      </c>
      <c r="W42" s="11" t="str">
        <f t="shared" si="18"/>
        <v/>
      </c>
      <c r="X42" s="11">
        <f t="shared" si="19"/>
        <v>-89.07741251325551</v>
      </c>
      <c r="Y42" s="11" t="str">
        <f t="shared" si="20"/>
        <v/>
      </c>
      <c r="Z42" s="11" t="str">
        <f t="shared" si="21"/>
        <v/>
      </c>
      <c r="AA42" s="7" t="s">
        <v>63</v>
      </c>
      <c r="AB42" s="12" t="s">
        <v>64</v>
      </c>
      <c r="AC42" s="12" t="s">
        <v>65</v>
      </c>
    </row>
    <row r="43" spans="1:29" ht="32">
      <c r="A43" s="7" t="s">
        <v>14</v>
      </c>
      <c r="B43" s="7" t="s">
        <v>153</v>
      </c>
      <c r="C43" s="7" t="s">
        <v>142</v>
      </c>
      <c r="D43" s="7" t="s">
        <v>154</v>
      </c>
      <c r="E43" s="7" t="s">
        <v>62</v>
      </c>
      <c r="F43" s="11">
        <v>-160</v>
      </c>
      <c r="G43" s="11">
        <v>-171</v>
      </c>
      <c r="H43" s="11">
        <v>-166</v>
      </c>
      <c r="I43" s="11">
        <v>-162</v>
      </c>
      <c r="J43" s="11">
        <v>-165</v>
      </c>
      <c r="K43" s="11">
        <v>-162</v>
      </c>
      <c r="L43" s="11"/>
      <c r="M43" s="11">
        <v>-41.3</v>
      </c>
      <c r="N43" s="11">
        <v>-44.6</v>
      </c>
      <c r="O43" s="11">
        <v>-57</v>
      </c>
      <c r="P43" s="11">
        <f t="shared" si="11"/>
        <v>-126.02051496755296</v>
      </c>
      <c r="Q43" s="11">
        <f t="shared" si="12"/>
        <v>-122.88046891354409</v>
      </c>
      <c r="R43" s="11" t="str">
        <f t="shared" si="13"/>
        <v/>
      </c>
      <c r="S43" s="11">
        <f t="shared" si="14"/>
        <v>-129.02889329300095</v>
      </c>
      <c r="T43" s="11">
        <f t="shared" si="15"/>
        <v>-125.89965578387408</v>
      </c>
      <c r="U43" s="11" t="str">
        <f t="shared" si="16"/>
        <v/>
      </c>
      <c r="V43" s="11">
        <f t="shared" si="17"/>
        <v>-114.52810180275719</v>
      </c>
      <c r="W43" s="11">
        <f t="shared" si="18"/>
        <v>-111.34676564156942</v>
      </c>
      <c r="X43" s="11" t="str">
        <f t="shared" si="19"/>
        <v/>
      </c>
      <c r="Y43" s="11">
        <f t="shared" si="20"/>
        <v>3</v>
      </c>
      <c r="Z43" s="11" t="str">
        <f t="shared" si="21"/>
        <v/>
      </c>
      <c r="AA43" s="7" t="s">
        <v>63</v>
      </c>
      <c r="AB43" s="12" t="s">
        <v>64</v>
      </c>
      <c r="AC43" s="12" t="s">
        <v>65</v>
      </c>
    </row>
    <row r="44" spans="1:29" ht="32">
      <c r="A44" s="7" t="s">
        <v>14</v>
      </c>
      <c r="B44" s="7" t="s">
        <v>155</v>
      </c>
      <c r="C44" s="7" t="s">
        <v>142</v>
      </c>
      <c r="D44" s="7" t="s">
        <v>156</v>
      </c>
      <c r="E44" s="7" t="s">
        <v>62</v>
      </c>
      <c r="F44" s="11">
        <v>-128</v>
      </c>
      <c r="G44" s="11">
        <v>-111</v>
      </c>
      <c r="H44" s="11">
        <v>-146</v>
      </c>
      <c r="I44" s="11">
        <v>-143</v>
      </c>
      <c r="J44" s="11">
        <v>-138</v>
      </c>
      <c r="K44" s="11">
        <v>-172</v>
      </c>
      <c r="L44" s="11">
        <v>-182</v>
      </c>
      <c r="M44" s="11">
        <v>-16.100000000000001</v>
      </c>
      <c r="N44" s="11">
        <v>-47.4</v>
      </c>
      <c r="O44" s="11">
        <v>-57</v>
      </c>
      <c r="P44" s="11">
        <f t="shared" si="11"/>
        <v>-95.108125131219794</v>
      </c>
      <c r="Q44" s="11">
        <f t="shared" si="12"/>
        <v>-130.7999160193155</v>
      </c>
      <c r="R44" s="11">
        <f t="shared" si="13"/>
        <v>-141.29750157463772</v>
      </c>
      <c r="S44" s="11">
        <f t="shared" si="14"/>
        <v>-123.89470474641729</v>
      </c>
      <c r="T44" s="11">
        <f t="shared" si="15"/>
        <v>-158.45106209980685</v>
      </c>
      <c r="U44" s="11">
        <f t="shared" si="16"/>
        <v>-168.61469661550964</v>
      </c>
      <c r="V44" s="11">
        <f t="shared" si="17"/>
        <v>-85.896076352067865</v>
      </c>
      <c r="W44" s="11">
        <f t="shared" si="18"/>
        <v>-121.95121951219501</v>
      </c>
      <c r="X44" s="11">
        <f t="shared" si="19"/>
        <v>-132.55567338282071</v>
      </c>
      <c r="Y44" s="11">
        <f t="shared" si="20"/>
        <v>-34</v>
      </c>
      <c r="Z44" s="11">
        <f t="shared" si="21"/>
        <v>-10</v>
      </c>
      <c r="AA44" s="7" t="s">
        <v>63</v>
      </c>
      <c r="AB44" s="12" t="s">
        <v>64</v>
      </c>
      <c r="AC44" s="12" t="s">
        <v>65</v>
      </c>
    </row>
    <row r="45" spans="1:29" ht="32">
      <c r="A45" s="7" t="s">
        <v>14</v>
      </c>
      <c r="B45" s="7" t="s">
        <v>157</v>
      </c>
      <c r="C45" s="7" t="s">
        <v>142</v>
      </c>
      <c r="D45" s="7" t="s">
        <v>158</v>
      </c>
      <c r="E45" s="7" t="s">
        <v>62</v>
      </c>
      <c r="F45" s="11">
        <v>-138</v>
      </c>
      <c r="G45" s="11">
        <v>-142</v>
      </c>
      <c r="H45" s="11">
        <v>-135</v>
      </c>
      <c r="I45" s="11">
        <v>-131</v>
      </c>
      <c r="J45" s="11"/>
      <c r="K45" s="11">
        <v>-166</v>
      </c>
      <c r="L45" s="11"/>
      <c r="M45" s="11">
        <v>-39.799999999999997</v>
      </c>
      <c r="N45" s="11">
        <v>-47.4</v>
      </c>
      <c r="O45" s="11">
        <v>-57</v>
      </c>
      <c r="P45" s="11" t="str">
        <f t="shared" si="11"/>
        <v/>
      </c>
      <c r="Q45" s="11">
        <f t="shared" si="12"/>
        <v>-124.50136468612227</v>
      </c>
      <c r="R45" s="11" t="str">
        <f t="shared" si="13"/>
        <v/>
      </c>
      <c r="S45" s="11" t="str">
        <f t="shared" si="14"/>
        <v/>
      </c>
      <c r="T45" s="11">
        <f t="shared" si="15"/>
        <v>-131.43095188502406</v>
      </c>
      <c r="U45" s="11" t="str">
        <f t="shared" si="16"/>
        <v/>
      </c>
      <c r="V45" s="11" t="str">
        <f t="shared" si="17"/>
        <v/>
      </c>
      <c r="W45" s="11">
        <f t="shared" si="18"/>
        <v>-115.58854718981971</v>
      </c>
      <c r="X45" s="11" t="str">
        <f t="shared" si="19"/>
        <v/>
      </c>
      <c r="Y45" s="11" t="str">
        <f t="shared" si="20"/>
        <v/>
      </c>
      <c r="Z45" s="11" t="str">
        <f t="shared" si="21"/>
        <v/>
      </c>
      <c r="AA45" s="7" t="s">
        <v>63</v>
      </c>
      <c r="AB45" s="12" t="s">
        <v>64</v>
      </c>
      <c r="AC45" s="12" t="s">
        <v>65</v>
      </c>
    </row>
    <row r="46" spans="1:29" ht="32">
      <c r="A46" s="7" t="s">
        <v>14</v>
      </c>
      <c r="B46" s="7" t="s">
        <v>159</v>
      </c>
      <c r="C46" s="7" t="s">
        <v>142</v>
      </c>
      <c r="D46" s="7" t="s">
        <v>160</v>
      </c>
      <c r="E46" s="7" t="s">
        <v>62</v>
      </c>
      <c r="F46" s="11">
        <v>-149</v>
      </c>
      <c r="G46" s="11">
        <v>-145</v>
      </c>
      <c r="H46" s="11">
        <v>-160</v>
      </c>
      <c r="I46" s="11">
        <v>-156</v>
      </c>
      <c r="J46" s="11">
        <v>-147</v>
      </c>
      <c r="K46" s="11">
        <v>-162</v>
      </c>
      <c r="L46" s="11">
        <v>-178</v>
      </c>
      <c r="M46" s="11">
        <v>-22.5</v>
      </c>
      <c r="N46" s="11">
        <v>-66.900000000000006</v>
      </c>
      <c r="O46" s="11">
        <v>-57</v>
      </c>
      <c r="P46" s="11">
        <f t="shared" si="11"/>
        <v>-85.842889293752052</v>
      </c>
      <c r="Q46" s="11">
        <f t="shared" si="12"/>
        <v>-101.91833672703898</v>
      </c>
      <c r="R46" s="11">
        <f t="shared" si="13"/>
        <v>-119.06548065587819</v>
      </c>
      <c r="S46" s="11">
        <f t="shared" si="14"/>
        <v>-127.36572890025577</v>
      </c>
      <c r="T46" s="11">
        <f t="shared" si="15"/>
        <v>-142.71099744245529</v>
      </c>
      <c r="U46" s="11">
        <f t="shared" si="16"/>
        <v>-159.07928388746794</v>
      </c>
      <c r="V46" s="11">
        <f t="shared" si="17"/>
        <v>-95.440084835630927</v>
      </c>
      <c r="W46" s="11">
        <f t="shared" si="18"/>
        <v>-111.34676564156942</v>
      </c>
      <c r="X46" s="11">
        <f t="shared" si="19"/>
        <v>-128.31389183457043</v>
      </c>
      <c r="Y46" s="11">
        <f t="shared" si="20"/>
        <v>-15</v>
      </c>
      <c r="Z46" s="11">
        <f t="shared" si="21"/>
        <v>-16</v>
      </c>
      <c r="AA46" s="7" t="s">
        <v>63</v>
      </c>
      <c r="AB46" s="12" t="s">
        <v>64</v>
      </c>
      <c r="AC46" s="12" t="s">
        <v>65</v>
      </c>
    </row>
    <row r="47" spans="1:29" ht="32">
      <c r="A47" s="7" t="s">
        <v>14</v>
      </c>
      <c r="B47" s="7" t="s">
        <v>161</v>
      </c>
      <c r="C47" s="7" t="s">
        <v>142</v>
      </c>
      <c r="D47" s="7" t="s">
        <v>162</v>
      </c>
      <c r="E47" s="7" t="s">
        <v>62</v>
      </c>
      <c r="F47" s="11">
        <v>-173</v>
      </c>
      <c r="G47" s="11">
        <v>-172</v>
      </c>
      <c r="H47" s="11">
        <v>-170</v>
      </c>
      <c r="I47" s="11">
        <v>-184</v>
      </c>
      <c r="J47" s="11"/>
      <c r="K47" s="11">
        <v>-165</v>
      </c>
      <c r="L47" s="11">
        <v>-187</v>
      </c>
      <c r="M47" s="11">
        <v>-9.3000000000000007</v>
      </c>
      <c r="N47" s="11">
        <v>-44</v>
      </c>
      <c r="O47" s="11">
        <v>-57</v>
      </c>
      <c r="P47" s="11" t="str">
        <f t="shared" si="11"/>
        <v/>
      </c>
      <c r="Q47" s="11">
        <f t="shared" si="12"/>
        <v>-126.56903765690375</v>
      </c>
      <c r="R47" s="11">
        <f t="shared" si="13"/>
        <v>-149.58158995815907</v>
      </c>
      <c r="S47" s="11" t="str">
        <f t="shared" si="14"/>
        <v/>
      </c>
      <c r="T47" s="11">
        <f t="shared" si="15"/>
        <v>-157.1616029070355</v>
      </c>
      <c r="U47" s="11">
        <f t="shared" si="16"/>
        <v>-179.36812354900579</v>
      </c>
      <c r="V47" s="11" t="str">
        <f t="shared" si="17"/>
        <v/>
      </c>
      <c r="W47" s="11">
        <f t="shared" si="18"/>
        <v>-114.52810180275719</v>
      </c>
      <c r="X47" s="11">
        <f t="shared" si="19"/>
        <v>-137.8579003181336</v>
      </c>
      <c r="Y47" s="11" t="str">
        <f t="shared" si="20"/>
        <v/>
      </c>
      <c r="Z47" s="11">
        <f t="shared" si="21"/>
        <v>-22</v>
      </c>
      <c r="AA47" s="7" t="s">
        <v>63</v>
      </c>
      <c r="AB47" s="12" t="s">
        <v>64</v>
      </c>
      <c r="AC47" s="12" t="s">
        <v>65</v>
      </c>
    </row>
    <row r="48" spans="1:29" ht="32">
      <c r="A48" s="7" t="s">
        <v>14</v>
      </c>
      <c r="B48" s="7" t="s">
        <v>163</v>
      </c>
      <c r="C48" s="7" t="s">
        <v>142</v>
      </c>
      <c r="D48" s="7" t="s">
        <v>164</v>
      </c>
      <c r="E48" s="7" t="s">
        <v>62</v>
      </c>
      <c r="F48" s="11">
        <v>-161</v>
      </c>
      <c r="G48" s="11">
        <v>-167</v>
      </c>
      <c r="H48" s="11">
        <v>-180</v>
      </c>
      <c r="I48" s="11">
        <v>-181</v>
      </c>
      <c r="J48" s="11"/>
      <c r="K48" s="11">
        <v>-137</v>
      </c>
      <c r="L48" s="11">
        <v>-164</v>
      </c>
      <c r="M48" s="11">
        <v>-17.8</v>
      </c>
      <c r="N48" s="11">
        <v>-52.8</v>
      </c>
      <c r="O48" s="11">
        <v>-57</v>
      </c>
      <c r="P48" s="11" t="str">
        <f t="shared" si="11"/>
        <v/>
      </c>
      <c r="Q48" s="11">
        <f t="shared" si="12"/>
        <v>-88.893581081081138</v>
      </c>
      <c r="R48" s="11">
        <f t="shared" si="13"/>
        <v>-117.39864864864869</v>
      </c>
      <c r="S48" s="11" t="str">
        <f t="shared" si="14"/>
        <v/>
      </c>
      <c r="T48" s="11">
        <f t="shared" si="15"/>
        <v>-121.36021176949707</v>
      </c>
      <c r="U48" s="11">
        <f t="shared" si="16"/>
        <v>-148.84952148238651</v>
      </c>
      <c r="V48" s="11" t="str">
        <f t="shared" si="17"/>
        <v/>
      </c>
      <c r="W48" s="11">
        <f t="shared" si="18"/>
        <v>-84.835630965005237</v>
      </c>
      <c r="X48" s="11">
        <f t="shared" si="19"/>
        <v>-113.46765641569456</v>
      </c>
      <c r="Y48" s="11" t="str">
        <f t="shared" si="20"/>
        <v/>
      </c>
      <c r="Z48" s="11">
        <f t="shared" si="21"/>
        <v>-27</v>
      </c>
      <c r="AA48" s="7" t="s">
        <v>63</v>
      </c>
      <c r="AB48" s="12" t="s">
        <v>64</v>
      </c>
      <c r="AC48" s="12" t="s">
        <v>65</v>
      </c>
    </row>
    <row r="49" spans="1:29" ht="32">
      <c r="A49" s="7" t="s">
        <v>14</v>
      </c>
      <c r="B49" s="7" t="s">
        <v>165</v>
      </c>
      <c r="C49" s="7" t="s">
        <v>142</v>
      </c>
      <c r="D49" s="7" t="s">
        <v>166</v>
      </c>
      <c r="E49" s="7" t="s">
        <v>62</v>
      </c>
      <c r="F49" s="11">
        <v>-215</v>
      </c>
      <c r="G49" s="11">
        <v>-196</v>
      </c>
      <c r="H49" s="11">
        <v>-215</v>
      </c>
      <c r="I49" s="11">
        <v>-212</v>
      </c>
      <c r="J49" s="11">
        <v>-218</v>
      </c>
      <c r="K49" s="11">
        <v>-222</v>
      </c>
      <c r="L49" s="11">
        <v>-171</v>
      </c>
      <c r="M49" s="11">
        <v>-60.5</v>
      </c>
      <c r="N49" s="11">
        <v>-36.700000000000003</v>
      </c>
      <c r="O49" s="11">
        <v>-57</v>
      </c>
      <c r="P49" s="11">
        <f t="shared" si="11"/>
        <v>-188.20720440153639</v>
      </c>
      <c r="Q49" s="11">
        <f t="shared" si="12"/>
        <v>-192.35959721789686</v>
      </c>
      <c r="R49" s="11">
        <f t="shared" si="13"/>
        <v>-139.4165888093014</v>
      </c>
      <c r="S49" s="11">
        <f t="shared" si="14"/>
        <v>-167.64236295902069</v>
      </c>
      <c r="T49" s="11">
        <f t="shared" si="15"/>
        <v>-171.89994678020227</v>
      </c>
      <c r="U49" s="11">
        <f t="shared" si="16"/>
        <v>-117.61575306013839</v>
      </c>
      <c r="V49" s="11">
        <f t="shared" si="17"/>
        <v>-170.7317073170731</v>
      </c>
      <c r="W49" s="11">
        <f t="shared" si="18"/>
        <v>-174.97348886532339</v>
      </c>
      <c r="X49" s="11">
        <f t="shared" si="19"/>
        <v>-120.89077412513261</v>
      </c>
      <c r="Y49" s="11">
        <f t="shared" si="20"/>
        <v>-4</v>
      </c>
      <c r="Z49" s="11">
        <f t="shared" si="21"/>
        <v>51</v>
      </c>
      <c r="AA49" s="7" t="s">
        <v>63</v>
      </c>
      <c r="AB49" s="12" t="s">
        <v>64</v>
      </c>
      <c r="AC49" s="12" t="s">
        <v>65</v>
      </c>
    </row>
    <row r="50" spans="1:29" ht="32">
      <c r="A50" s="7" t="s">
        <v>14</v>
      </c>
      <c r="B50" s="7" t="s">
        <v>167</v>
      </c>
      <c r="C50" s="7" t="s">
        <v>142</v>
      </c>
      <c r="D50" s="7" t="s">
        <v>168</v>
      </c>
      <c r="E50" s="7" t="s">
        <v>62</v>
      </c>
      <c r="F50" s="11">
        <v>-118</v>
      </c>
      <c r="G50" s="11">
        <v>-122</v>
      </c>
      <c r="H50" s="11">
        <v>-105</v>
      </c>
      <c r="I50" s="11">
        <v>-127</v>
      </c>
      <c r="J50" s="11">
        <v>-116</v>
      </c>
      <c r="K50" s="11">
        <v>-124</v>
      </c>
      <c r="L50" s="11">
        <v>-120</v>
      </c>
      <c r="M50" s="11">
        <v>-15.8</v>
      </c>
      <c r="N50" s="11">
        <v>-53.3</v>
      </c>
      <c r="O50" s="11">
        <v>-57</v>
      </c>
      <c r="P50" s="11">
        <f t="shared" si="11"/>
        <v>-66.230062321749216</v>
      </c>
      <c r="Q50" s="11">
        <f t="shared" si="12"/>
        <v>-74.680468997570529</v>
      </c>
      <c r="R50" s="11">
        <f t="shared" si="13"/>
        <v>-70.455265659659872</v>
      </c>
      <c r="S50" s="11">
        <f t="shared" si="14"/>
        <v>-101.80857549278599</v>
      </c>
      <c r="T50" s="11">
        <f t="shared" si="15"/>
        <v>-109.9370046738467</v>
      </c>
      <c r="U50" s="11">
        <f t="shared" si="16"/>
        <v>-105.8727900833164</v>
      </c>
      <c r="V50" s="11">
        <f t="shared" si="17"/>
        <v>-62.566277836691327</v>
      </c>
      <c r="W50" s="11">
        <f t="shared" si="18"/>
        <v>-71.049840933191888</v>
      </c>
      <c r="X50" s="11">
        <f t="shared" si="19"/>
        <v>-66.808059384941615</v>
      </c>
      <c r="Y50" s="11">
        <f t="shared" si="20"/>
        <v>-8</v>
      </c>
      <c r="Z50" s="11">
        <f t="shared" si="21"/>
        <v>4</v>
      </c>
      <c r="AA50" s="7" t="s">
        <v>63</v>
      </c>
      <c r="AB50" s="12" t="s">
        <v>64</v>
      </c>
      <c r="AC50" s="12" t="s">
        <v>65</v>
      </c>
    </row>
    <row r="51" spans="1:29" ht="32">
      <c r="A51" s="7" t="s">
        <v>14</v>
      </c>
      <c r="B51" s="7" t="s">
        <v>169</v>
      </c>
      <c r="C51" s="7" t="s">
        <v>142</v>
      </c>
      <c r="D51" s="7" t="s">
        <v>170</v>
      </c>
      <c r="E51" s="7" t="s">
        <v>87</v>
      </c>
      <c r="F51" s="11">
        <v>-150</v>
      </c>
      <c r="G51" s="11">
        <v>-116</v>
      </c>
      <c r="H51" s="11">
        <v>-121</v>
      </c>
      <c r="I51" s="11">
        <v>-121</v>
      </c>
      <c r="J51" s="11"/>
      <c r="K51" s="11">
        <v>-123</v>
      </c>
      <c r="L51" s="11"/>
      <c r="M51" s="11">
        <v>-70.400000000000006</v>
      </c>
      <c r="N51" s="11"/>
      <c r="O51" s="11">
        <v>-57</v>
      </c>
      <c r="P51" s="11" t="str">
        <f t="shared" si="11"/>
        <v/>
      </c>
      <c r="Q51" s="11" t="str">
        <f t="shared" si="12"/>
        <v/>
      </c>
      <c r="R51" s="11" t="str">
        <f t="shared" si="13"/>
        <v/>
      </c>
      <c r="S51" s="11" t="str">
        <f t="shared" si="14"/>
        <v/>
      </c>
      <c r="T51" s="11">
        <f t="shared" si="15"/>
        <v>-56.583476764199617</v>
      </c>
      <c r="U51" s="11" t="str">
        <f t="shared" si="16"/>
        <v/>
      </c>
      <c r="V51" s="11" t="str">
        <f t="shared" si="17"/>
        <v/>
      </c>
      <c r="W51" s="11">
        <f t="shared" si="18"/>
        <v>-69.989395546129373</v>
      </c>
      <c r="X51" s="11" t="str">
        <f t="shared" si="19"/>
        <v/>
      </c>
      <c r="Y51" s="11" t="str">
        <f t="shared" si="20"/>
        <v/>
      </c>
      <c r="Z51" s="11" t="str">
        <f t="shared" si="21"/>
        <v/>
      </c>
      <c r="AA51" s="7" t="s">
        <v>63</v>
      </c>
      <c r="AB51" s="12" t="s">
        <v>64</v>
      </c>
      <c r="AC51" s="12" t="s">
        <v>65</v>
      </c>
    </row>
    <row r="52" spans="1:29" ht="32">
      <c r="A52" s="7" t="s">
        <v>14</v>
      </c>
      <c r="B52" s="7" t="s">
        <v>171</v>
      </c>
      <c r="C52" s="7" t="s">
        <v>142</v>
      </c>
      <c r="D52" s="7" t="s">
        <v>172</v>
      </c>
      <c r="E52" s="7" t="s">
        <v>87</v>
      </c>
      <c r="F52" s="11">
        <v>-136</v>
      </c>
      <c r="G52" s="11">
        <v>-137</v>
      </c>
      <c r="H52" s="11">
        <v>-155</v>
      </c>
      <c r="I52" s="11">
        <v>-223</v>
      </c>
      <c r="J52" s="11">
        <v>-122</v>
      </c>
      <c r="K52" s="11">
        <v>-169</v>
      </c>
      <c r="L52" s="11">
        <v>-118</v>
      </c>
      <c r="M52" s="11">
        <v>-16.5</v>
      </c>
      <c r="N52" s="11">
        <v>-49.4</v>
      </c>
      <c r="O52" s="11">
        <v>-57</v>
      </c>
      <c r="P52" s="11">
        <f t="shared" si="11"/>
        <v>-76.372817168104405</v>
      </c>
      <c r="Q52" s="11">
        <f t="shared" si="12"/>
        <v>-125.81527456343366</v>
      </c>
      <c r="R52" s="11">
        <f t="shared" si="13"/>
        <v>-72.164948453608218</v>
      </c>
      <c r="S52" s="11">
        <f t="shared" si="14"/>
        <v>-107.26995424504327</v>
      </c>
      <c r="T52" s="11">
        <f t="shared" si="15"/>
        <v>-155.05846466700569</v>
      </c>
      <c r="U52" s="11">
        <f t="shared" si="16"/>
        <v>-103.20284697508897</v>
      </c>
      <c r="V52" s="11">
        <f t="shared" si="17"/>
        <v>-68.928950159066744</v>
      </c>
      <c r="W52" s="11">
        <f t="shared" si="18"/>
        <v>-118.76988335100746</v>
      </c>
      <c r="X52" s="11">
        <f t="shared" si="19"/>
        <v>-64.687168610816471</v>
      </c>
      <c r="Y52" s="11">
        <f t="shared" si="20"/>
        <v>-47</v>
      </c>
      <c r="Z52" s="11">
        <f t="shared" si="21"/>
        <v>51</v>
      </c>
      <c r="AA52" s="7" t="s">
        <v>63</v>
      </c>
      <c r="AB52" s="12" t="s">
        <v>64</v>
      </c>
      <c r="AC52" s="12" t="s">
        <v>65</v>
      </c>
    </row>
    <row r="53" spans="1:29" ht="32">
      <c r="A53" s="7" t="s">
        <v>14</v>
      </c>
      <c r="B53" s="7" t="s">
        <v>173</v>
      </c>
      <c r="C53" s="7" t="s">
        <v>142</v>
      </c>
      <c r="D53" s="7" t="s">
        <v>174</v>
      </c>
      <c r="E53" s="7" t="s">
        <v>87</v>
      </c>
      <c r="F53" s="11">
        <v>-123</v>
      </c>
      <c r="G53" s="11">
        <v>-118</v>
      </c>
      <c r="H53" s="11">
        <v>-131</v>
      </c>
      <c r="I53" s="11">
        <v>-139</v>
      </c>
      <c r="J53" s="11"/>
      <c r="K53" s="11">
        <v>-137</v>
      </c>
      <c r="L53" s="11">
        <v>-150</v>
      </c>
      <c r="M53" s="11">
        <v>-18.899999999999999</v>
      </c>
      <c r="N53" s="11">
        <v>-67.2</v>
      </c>
      <c r="O53" s="11">
        <v>-57</v>
      </c>
      <c r="P53" s="11" t="str">
        <f t="shared" si="11"/>
        <v/>
      </c>
      <c r="Q53" s="11">
        <f t="shared" si="12"/>
        <v>-74.828473413379058</v>
      </c>
      <c r="R53" s="11">
        <f t="shared" si="13"/>
        <v>-88.765008576329294</v>
      </c>
      <c r="S53" s="11" t="str">
        <f t="shared" si="14"/>
        <v/>
      </c>
      <c r="T53" s="11">
        <f t="shared" si="15"/>
        <v>-120.37508918560802</v>
      </c>
      <c r="U53" s="11">
        <f t="shared" si="16"/>
        <v>-133.62552237284675</v>
      </c>
      <c r="V53" s="11" t="str">
        <f t="shared" si="17"/>
        <v/>
      </c>
      <c r="W53" s="11">
        <f t="shared" si="18"/>
        <v>-84.835630965005237</v>
      </c>
      <c r="X53" s="11">
        <f t="shared" si="19"/>
        <v>-98.621420996818586</v>
      </c>
      <c r="Y53" s="11" t="str">
        <f t="shared" si="20"/>
        <v/>
      </c>
      <c r="Z53" s="11">
        <f t="shared" si="21"/>
        <v>-13</v>
      </c>
      <c r="AA53" s="7" t="s">
        <v>63</v>
      </c>
      <c r="AB53" s="12" t="s">
        <v>64</v>
      </c>
      <c r="AC53" s="12" t="s">
        <v>65</v>
      </c>
    </row>
    <row r="54" spans="1:29" ht="32">
      <c r="A54" s="7" t="s">
        <v>14</v>
      </c>
      <c r="B54" s="7" t="s">
        <v>175</v>
      </c>
      <c r="C54" s="7" t="s">
        <v>142</v>
      </c>
      <c r="D54" s="7" t="s">
        <v>176</v>
      </c>
      <c r="E54" s="7" t="s">
        <v>87</v>
      </c>
      <c r="F54" s="11">
        <v>-156</v>
      </c>
      <c r="G54" s="11">
        <v>-149</v>
      </c>
      <c r="H54" s="11"/>
      <c r="I54" s="11"/>
      <c r="J54" s="11">
        <v>-81</v>
      </c>
      <c r="K54" s="11">
        <v>-150</v>
      </c>
      <c r="L54" s="11">
        <v>-155</v>
      </c>
      <c r="M54" s="11">
        <v>-13.5</v>
      </c>
      <c r="N54" s="11">
        <v>-48.2</v>
      </c>
      <c r="O54" s="11">
        <v>-57</v>
      </c>
      <c r="P54" s="11">
        <f t="shared" si="11"/>
        <v>-34.461021222945917</v>
      </c>
      <c r="Q54" s="11">
        <f t="shared" si="12"/>
        <v>-106.95524269804579</v>
      </c>
      <c r="R54" s="11">
        <f t="shared" si="13"/>
        <v>-112.20844715276324</v>
      </c>
      <c r="S54" s="11">
        <f t="shared" si="14"/>
        <v>-68.42372022301069</v>
      </c>
      <c r="T54" s="11">
        <f t="shared" si="15"/>
        <v>-138.36796756208824</v>
      </c>
      <c r="U54" s="11">
        <f t="shared" si="16"/>
        <v>-143.43639128231123</v>
      </c>
      <c r="V54" s="11">
        <f t="shared" si="17"/>
        <v>-25.450689289501447</v>
      </c>
      <c r="W54" s="11">
        <f t="shared" si="18"/>
        <v>-98.621420996818586</v>
      </c>
      <c r="X54" s="11">
        <f t="shared" si="19"/>
        <v>-103.92364793213149</v>
      </c>
      <c r="Y54" s="11">
        <f t="shared" si="20"/>
        <v>-69</v>
      </c>
      <c r="Z54" s="11">
        <f t="shared" si="21"/>
        <v>-5</v>
      </c>
      <c r="AA54" s="7" t="s">
        <v>63</v>
      </c>
      <c r="AB54" s="12" t="s">
        <v>64</v>
      </c>
      <c r="AC54" s="12" t="s">
        <v>65</v>
      </c>
    </row>
    <row r="55" spans="1:29" ht="32">
      <c r="A55" s="7" t="s">
        <v>14</v>
      </c>
      <c r="B55" s="7" t="s">
        <v>177</v>
      </c>
      <c r="C55" s="7" t="s">
        <v>142</v>
      </c>
      <c r="D55" s="7" t="s">
        <v>178</v>
      </c>
      <c r="E55" s="7" t="s">
        <v>87</v>
      </c>
      <c r="F55" s="11">
        <v>-135</v>
      </c>
      <c r="G55" s="11">
        <v>-143</v>
      </c>
      <c r="H55" s="11">
        <v>-143</v>
      </c>
      <c r="I55" s="11">
        <v>-165</v>
      </c>
      <c r="J55" s="11"/>
      <c r="K55" s="11">
        <v>-141</v>
      </c>
      <c r="L55" s="11">
        <v>-137</v>
      </c>
      <c r="M55" s="11">
        <v>-14.1</v>
      </c>
      <c r="N55" s="11">
        <v>-39.4</v>
      </c>
      <c r="O55" s="11">
        <v>-57</v>
      </c>
      <c r="P55" s="11" t="str">
        <f t="shared" si="11"/>
        <v/>
      </c>
      <c r="Q55" s="11">
        <f t="shared" si="12"/>
        <v>-105.76722881532375</v>
      </c>
      <c r="R55" s="11">
        <f t="shared" si="13"/>
        <v>-101.6031646887362</v>
      </c>
      <c r="S55" s="11" t="str">
        <f t="shared" si="14"/>
        <v/>
      </c>
      <c r="T55" s="11">
        <f t="shared" si="15"/>
        <v>-128.7148798052541</v>
      </c>
      <c r="U55" s="11">
        <f t="shared" si="16"/>
        <v>-124.65767319200727</v>
      </c>
      <c r="V55" s="11" t="str">
        <f t="shared" si="17"/>
        <v/>
      </c>
      <c r="W55" s="11">
        <f t="shared" si="18"/>
        <v>-89.07741251325551</v>
      </c>
      <c r="X55" s="11">
        <f t="shared" si="19"/>
        <v>-84.835630965005237</v>
      </c>
      <c r="Y55" s="11" t="str">
        <f t="shared" si="20"/>
        <v/>
      </c>
      <c r="Z55" s="11">
        <f t="shared" si="21"/>
        <v>4</v>
      </c>
      <c r="AA55" s="7" t="s">
        <v>63</v>
      </c>
      <c r="AB55" s="12" t="s">
        <v>64</v>
      </c>
      <c r="AC55" s="12" t="s">
        <v>65</v>
      </c>
    </row>
    <row r="56" spans="1:29" ht="32">
      <c r="A56" s="7" t="s">
        <v>14</v>
      </c>
      <c r="B56" s="7" t="s">
        <v>179</v>
      </c>
      <c r="C56" s="7" t="s">
        <v>142</v>
      </c>
      <c r="D56" s="7" t="s">
        <v>180</v>
      </c>
      <c r="E56" s="7" t="s">
        <v>138</v>
      </c>
      <c r="F56" s="11">
        <v>-119</v>
      </c>
      <c r="G56" s="11">
        <v>-134</v>
      </c>
      <c r="H56" s="11">
        <v>-160</v>
      </c>
      <c r="I56" s="11">
        <v>-141</v>
      </c>
      <c r="J56" s="11"/>
      <c r="K56" s="11">
        <v>-143</v>
      </c>
      <c r="L56" s="11">
        <v>-148</v>
      </c>
      <c r="M56" s="11">
        <v>-9.9</v>
      </c>
      <c r="N56" s="11">
        <v>-39.299999999999997</v>
      </c>
      <c r="O56" s="11">
        <v>-57</v>
      </c>
      <c r="P56" s="11" t="str">
        <f t="shared" si="11"/>
        <v/>
      </c>
      <c r="Q56" s="11">
        <f t="shared" si="12"/>
        <v>-107.94212553346516</v>
      </c>
      <c r="R56" s="11">
        <f t="shared" si="13"/>
        <v>-113.14666389091288</v>
      </c>
      <c r="S56" s="11" t="str">
        <f t="shared" si="14"/>
        <v/>
      </c>
      <c r="T56" s="11">
        <f t="shared" si="15"/>
        <v>-134.43086556913443</v>
      </c>
      <c r="U56" s="11">
        <f t="shared" si="16"/>
        <v>-139.48086051913944</v>
      </c>
      <c r="V56" s="11" t="str">
        <f t="shared" si="17"/>
        <v/>
      </c>
      <c r="W56" s="11">
        <f t="shared" si="18"/>
        <v>-91.198303287380654</v>
      </c>
      <c r="X56" s="11">
        <f t="shared" si="19"/>
        <v>-96.500530222693556</v>
      </c>
      <c r="Y56" s="11" t="str">
        <f t="shared" si="20"/>
        <v/>
      </c>
      <c r="Z56" s="11">
        <f t="shared" si="21"/>
        <v>-5</v>
      </c>
      <c r="AA56" s="7" t="s">
        <v>63</v>
      </c>
      <c r="AB56" s="12" t="s">
        <v>64</v>
      </c>
      <c r="AC56" s="12" t="s">
        <v>65</v>
      </c>
    </row>
    <row r="57" spans="1:29" ht="32">
      <c r="A57" s="7" t="s">
        <v>14</v>
      </c>
      <c r="B57" s="7" t="s">
        <v>181</v>
      </c>
      <c r="C57" s="7" t="s">
        <v>142</v>
      </c>
      <c r="D57" s="7" t="s">
        <v>182</v>
      </c>
      <c r="E57" s="7" t="s">
        <v>138</v>
      </c>
      <c r="F57" s="11">
        <v>-104</v>
      </c>
      <c r="G57" s="11">
        <v>-98</v>
      </c>
      <c r="H57" s="11"/>
      <c r="I57" s="11">
        <v>-139</v>
      </c>
      <c r="J57" s="11">
        <v>-128</v>
      </c>
      <c r="K57" s="11">
        <v>-136</v>
      </c>
      <c r="L57" s="11">
        <v>-121</v>
      </c>
      <c r="M57" s="11">
        <v>-38.700000000000003</v>
      </c>
      <c r="N57" s="11">
        <v>-38.6</v>
      </c>
      <c r="O57" s="11">
        <v>-57</v>
      </c>
      <c r="P57" s="11">
        <f t="shared" si="11"/>
        <v>-92.989390472227981</v>
      </c>
      <c r="Q57" s="11">
        <f t="shared" si="12"/>
        <v>-101.31058872477638</v>
      </c>
      <c r="R57" s="11">
        <f t="shared" si="13"/>
        <v>-85.708342001248212</v>
      </c>
      <c r="S57" s="11">
        <f t="shared" si="14"/>
        <v>-92.89503796941645</v>
      </c>
      <c r="T57" s="11">
        <f t="shared" si="15"/>
        <v>-101.21710184125665</v>
      </c>
      <c r="U57" s="11">
        <f t="shared" si="16"/>
        <v>-85.613232081556248</v>
      </c>
      <c r="V57" s="11">
        <f t="shared" si="17"/>
        <v>-75.291622481442161</v>
      </c>
      <c r="W57" s="11">
        <f t="shared" si="18"/>
        <v>-83.775185577942722</v>
      </c>
      <c r="X57" s="11">
        <f t="shared" si="19"/>
        <v>-67.868504772004229</v>
      </c>
      <c r="Y57" s="11">
        <f t="shared" si="20"/>
        <v>-8</v>
      </c>
      <c r="Z57" s="11">
        <f t="shared" si="21"/>
        <v>15</v>
      </c>
      <c r="AA57" s="7" t="s">
        <v>63</v>
      </c>
      <c r="AB57" s="12" t="s">
        <v>64</v>
      </c>
      <c r="AC57" s="12" t="s">
        <v>65</v>
      </c>
    </row>
    <row r="58" spans="1:29" ht="32">
      <c r="A58" s="7" t="s">
        <v>14</v>
      </c>
      <c r="B58" s="7" t="s">
        <v>183</v>
      </c>
      <c r="C58" s="7" t="s">
        <v>142</v>
      </c>
      <c r="D58" s="7" t="s">
        <v>184</v>
      </c>
      <c r="E58" s="7" t="s">
        <v>87</v>
      </c>
      <c r="F58" s="11">
        <v>-176</v>
      </c>
      <c r="G58" s="11">
        <v>-177</v>
      </c>
      <c r="H58" s="11">
        <v>-168</v>
      </c>
      <c r="I58" s="11">
        <v>-154</v>
      </c>
      <c r="J58" s="11">
        <v>-112</v>
      </c>
      <c r="K58" s="11">
        <v>-156</v>
      </c>
      <c r="L58" s="11">
        <v>-159</v>
      </c>
      <c r="M58" s="11">
        <v>-29</v>
      </c>
      <c r="N58" s="11">
        <v>-46.1</v>
      </c>
      <c r="O58" s="11">
        <v>-57</v>
      </c>
      <c r="P58" s="11">
        <f t="shared" si="11"/>
        <v>-69.08480972848308</v>
      </c>
      <c r="Q58" s="11">
        <f t="shared" si="12"/>
        <v>-115.21123807526989</v>
      </c>
      <c r="R58" s="11">
        <f t="shared" si="13"/>
        <v>-118.35622182618721</v>
      </c>
      <c r="S58" s="11">
        <f t="shared" si="14"/>
        <v>-85.478887744593109</v>
      </c>
      <c r="T58" s="11">
        <f t="shared" si="15"/>
        <v>-130.79299691040168</v>
      </c>
      <c r="U58" s="11">
        <f t="shared" si="16"/>
        <v>-133.88259526261592</v>
      </c>
      <c r="V58" s="11">
        <f t="shared" si="17"/>
        <v>-58.324496288441054</v>
      </c>
      <c r="W58" s="11">
        <f t="shared" si="18"/>
        <v>-104.984093319194</v>
      </c>
      <c r="X58" s="11">
        <f t="shared" si="19"/>
        <v>-108.16542948038177</v>
      </c>
      <c r="Y58" s="11">
        <f t="shared" si="20"/>
        <v>-44</v>
      </c>
      <c r="Z58" s="11">
        <f t="shared" si="21"/>
        <v>-3</v>
      </c>
      <c r="AA58" s="7" t="s">
        <v>63</v>
      </c>
      <c r="AB58" s="12" t="s">
        <v>64</v>
      </c>
      <c r="AC58" s="12" t="s">
        <v>65</v>
      </c>
    </row>
    <row r="59" spans="1:29" ht="32">
      <c r="A59" s="7" t="s">
        <v>14</v>
      </c>
      <c r="B59" s="7" t="s">
        <v>185</v>
      </c>
      <c r="C59" s="7" t="s">
        <v>142</v>
      </c>
      <c r="D59" s="7" t="s">
        <v>186</v>
      </c>
      <c r="E59" s="7" t="s">
        <v>87</v>
      </c>
      <c r="F59" s="11">
        <v>-147</v>
      </c>
      <c r="G59" s="11">
        <v>-146</v>
      </c>
      <c r="H59" s="11">
        <v>-147</v>
      </c>
      <c r="I59" s="11">
        <v>-160</v>
      </c>
      <c r="J59" s="11">
        <v>-197</v>
      </c>
      <c r="K59" s="11">
        <v>-204</v>
      </c>
      <c r="L59" s="11">
        <v>-182</v>
      </c>
      <c r="M59" s="11">
        <v>-23.8</v>
      </c>
      <c r="N59" s="11">
        <v>-70</v>
      </c>
      <c r="O59" s="11">
        <v>-57</v>
      </c>
      <c r="P59" s="11">
        <f t="shared" si="11"/>
        <v>-136.55913978494627</v>
      </c>
      <c r="Q59" s="11">
        <f t="shared" si="12"/>
        <v>-144.08602150537618</v>
      </c>
      <c r="R59" s="11">
        <f t="shared" si="13"/>
        <v>-120.43010752688154</v>
      </c>
      <c r="S59" s="11">
        <f t="shared" si="14"/>
        <v>-177.42265929112889</v>
      </c>
      <c r="T59" s="11">
        <f t="shared" si="15"/>
        <v>-184.59332104077032</v>
      </c>
      <c r="U59" s="11">
        <f t="shared" si="16"/>
        <v>-162.05695554189703</v>
      </c>
      <c r="V59" s="11">
        <f t="shared" si="17"/>
        <v>-148.46235418875929</v>
      </c>
      <c r="W59" s="11">
        <f t="shared" si="18"/>
        <v>-155.88547189819712</v>
      </c>
      <c r="X59" s="11">
        <f t="shared" si="19"/>
        <v>-132.55567338282071</v>
      </c>
      <c r="Y59" s="11">
        <f t="shared" si="20"/>
        <v>-7</v>
      </c>
      <c r="Z59" s="11">
        <f t="shared" si="21"/>
        <v>22</v>
      </c>
      <c r="AA59" s="7" t="s">
        <v>63</v>
      </c>
      <c r="AB59" s="12" t="s">
        <v>64</v>
      </c>
      <c r="AC59" s="12" t="s">
        <v>65</v>
      </c>
    </row>
    <row r="60" spans="1:29" ht="32">
      <c r="A60" s="7" t="s">
        <v>14</v>
      </c>
      <c r="B60" s="7" t="s">
        <v>187</v>
      </c>
      <c r="C60" s="7" t="s">
        <v>142</v>
      </c>
      <c r="D60" s="7" t="s">
        <v>188</v>
      </c>
      <c r="E60" s="7" t="s">
        <v>138</v>
      </c>
      <c r="F60" s="11">
        <v>-149</v>
      </c>
      <c r="G60" s="11">
        <v>-138</v>
      </c>
      <c r="H60" s="11">
        <v>-146</v>
      </c>
      <c r="I60" s="11">
        <v>-136</v>
      </c>
      <c r="J60" s="11"/>
      <c r="K60" s="11">
        <v>-137</v>
      </c>
      <c r="L60" s="11">
        <v>-130</v>
      </c>
      <c r="M60" s="11">
        <v>-16.5</v>
      </c>
      <c r="N60" s="11">
        <v>-48.1</v>
      </c>
      <c r="O60" s="11">
        <v>-57</v>
      </c>
      <c r="P60" s="11" t="str">
        <f t="shared" si="11"/>
        <v/>
      </c>
      <c r="Q60" s="11">
        <f t="shared" si="12"/>
        <v>-93.392163042336335</v>
      </c>
      <c r="R60" s="11">
        <f t="shared" si="13"/>
        <v>-86.038449416955487</v>
      </c>
      <c r="S60" s="11" t="str">
        <f t="shared" si="14"/>
        <v/>
      </c>
      <c r="T60" s="11">
        <f t="shared" si="15"/>
        <v>-122.52160650737164</v>
      </c>
      <c r="U60" s="11">
        <f t="shared" si="16"/>
        <v>-115.40416878495175</v>
      </c>
      <c r="V60" s="11" t="str">
        <f t="shared" si="17"/>
        <v/>
      </c>
      <c r="W60" s="11">
        <f t="shared" si="18"/>
        <v>-84.835630965005237</v>
      </c>
      <c r="X60" s="11">
        <f t="shared" si="19"/>
        <v>-77.412513255567305</v>
      </c>
      <c r="Y60" s="11" t="str">
        <f t="shared" si="20"/>
        <v/>
      </c>
      <c r="Z60" s="11">
        <f t="shared" si="21"/>
        <v>7</v>
      </c>
      <c r="AA60" s="7" t="s">
        <v>63</v>
      </c>
      <c r="AB60" s="12" t="s">
        <v>64</v>
      </c>
      <c r="AC60" s="12" t="s">
        <v>65</v>
      </c>
    </row>
    <row r="61" spans="1:29" ht="32">
      <c r="A61" s="7" t="s">
        <v>14</v>
      </c>
      <c r="B61" s="7" t="s">
        <v>189</v>
      </c>
      <c r="C61" s="7" t="s">
        <v>142</v>
      </c>
      <c r="D61" s="7" t="s">
        <v>190</v>
      </c>
      <c r="E61" s="7" t="s">
        <v>87</v>
      </c>
      <c r="F61" s="11">
        <v>-168</v>
      </c>
      <c r="G61" s="11">
        <v>-176</v>
      </c>
      <c r="H61" s="11">
        <v>-177</v>
      </c>
      <c r="I61" s="11">
        <v>-175</v>
      </c>
      <c r="J61" s="11">
        <v>-154</v>
      </c>
      <c r="K61" s="11">
        <v>-155</v>
      </c>
      <c r="L61" s="11">
        <v>-129</v>
      </c>
      <c r="M61" s="11">
        <v>-19.399999999999999</v>
      </c>
      <c r="N61" s="11">
        <v>-44</v>
      </c>
      <c r="O61" s="11">
        <v>-57</v>
      </c>
      <c r="P61" s="11">
        <f t="shared" si="11"/>
        <v>-115.06276150627615</v>
      </c>
      <c r="Q61" s="11">
        <f t="shared" si="12"/>
        <v>-116.10878661087864</v>
      </c>
      <c r="R61" s="11">
        <f t="shared" si="13"/>
        <v>-88.91213389121333</v>
      </c>
      <c r="S61" s="11">
        <f t="shared" si="14"/>
        <v>-137.26290026514388</v>
      </c>
      <c r="T61" s="11">
        <f t="shared" si="15"/>
        <v>-138.28268407097698</v>
      </c>
      <c r="U61" s="11">
        <f t="shared" si="16"/>
        <v>-111.76830511931468</v>
      </c>
      <c r="V61" s="11">
        <f t="shared" si="17"/>
        <v>-102.86320254506887</v>
      </c>
      <c r="W61" s="11">
        <f t="shared" si="18"/>
        <v>-103.92364793213149</v>
      </c>
      <c r="X61" s="11">
        <f t="shared" si="19"/>
        <v>-76.352067868504676</v>
      </c>
      <c r="Y61" s="11">
        <f t="shared" si="20"/>
        <v>-1</v>
      </c>
      <c r="Z61" s="11">
        <f t="shared" si="21"/>
        <v>26</v>
      </c>
      <c r="AA61" s="7" t="s">
        <v>63</v>
      </c>
      <c r="AB61" s="12" t="s">
        <v>64</v>
      </c>
      <c r="AC61" s="12" t="s">
        <v>65</v>
      </c>
    </row>
    <row r="62" spans="1:29" ht="32">
      <c r="A62" s="7" t="s">
        <v>14</v>
      </c>
      <c r="B62" s="7" t="s">
        <v>191</v>
      </c>
      <c r="C62" s="7" t="s">
        <v>142</v>
      </c>
      <c r="D62" s="7" t="s">
        <v>192</v>
      </c>
      <c r="E62" s="7" t="s">
        <v>138</v>
      </c>
      <c r="F62" s="11">
        <v>-183</v>
      </c>
      <c r="G62" s="11">
        <v>-181</v>
      </c>
      <c r="H62" s="11">
        <v>-177</v>
      </c>
      <c r="I62" s="11">
        <v>-167</v>
      </c>
      <c r="J62" s="11">
        <v>-168</v>
      </c>
      <c r="K62" s="11">
        <v>-166</v>
      </c>
      <c r="L62" s="11">
        <v>-172</v>
      </c>
      <c r="M62" s="11">
        <v>-10.4</v>
      </c>
      <c r="N62" s="11">
        <v>-60</v>
      </c>
      <c r="O62" s="11">
        <v>-57</v>
      </c>
      <c r="P62" s="11">
        <f t="shared" si="11"/>
        <v>-114.89361702127654</v>
      </c>
      <c r="Q62" s="11">
        <f t="shared" si="12"/>
        <v>-112.7659574468085</v>
      </c>
      <c r="R62" s="11">
        <f t="shared" si="13"/>
        <v>-119.14893617021261</v>
      </c>
      <c r="S62" s="11">
        <f t="shared" si="14"/>
        <v>-159.25626515763946</v>
      </c>
      <c r="T62" s="11">
        <f t="shared" si="15"/>
        <v>-157.23524656426846</v>
      </c>
      <c r="U62" s="11">
        <f t="shared" si="16"/>
        <v>-163.29830234438148</v>
      </c>
      <c r="V62" s="11">
        <f t="shared" si="17"/>
        <v>-117.70943796394484</v>
      </c>
      <c r="W62" s="11">
        <f t="shared" si="18"/>
        <v>-115.58854718981971</v>
      </c>
      <c r="X62" s="11">
        <f t="shared" si="19"/>
        <v>-121.95121951219501</v>
      </c>
      <c r="Y62" s="11">
        <f t="shared" si="20"/>
        <v>2</v>
      </c>
      <c r="Z62" s="11">
        <f t="shared" si="21"/>
        <v>-6</v>
      </c>
      <c r="AA62" s="7" t="s">
        <v>63</v>
      </c>
      <c r="AB62" s="12" t="s">
        <v>64</v>
      </c>
      <c r="AC62" s="12" t="s">
        <v>65</v>
      </c>
    </row>
    <row r="63" spans="1:29" ht="32">
      <c r="A63" s="7" t="s">
        <v>14</v>
      </c>
      <c r="B63" s="7" t="s">
        <v>193</v>
      </c>
      <c r="C63" s="7" t="s">
        <v>142</v>
      </c>
      <c r="D63" s="7" t="s">
        <v>194</v>
      </c>
      <c r="E63" s="7" t="s">
        <v>138</v>
      </c>
      <c r="F63" s="11">
        <v>-144</v>
      </c>
      <c r="G63" s="11">
        <v>-142</v>
      </c>
      <c r="H63" s="11">
        <v>-144</v>
      </c>
      <c r="I63" s="11">
        <v>-142</v>
      </c>
      <c r="J63" s="11">
        <v>-143</v>
      </c>
      <c r="K63" s="11">
        <v>-140</v>
      </c>
      <c r="L63" s="11">
        <v>-112</v>
      </c>
      <c r="M63" s="11">
        <v>-29.3</v>
      </c>
      <c r="N63" s="11">
        <v>-51.3</v>
      </c>
      <c r="O63" s="11">
        <v>-57</v>
      </c>
      <c r="P63" s="11">
        <f t="shared" si="11"/>
        <v>-96.658585432697336</v>
      </c>
      <c r="Q63" s="11">
        <f t="shared" si="12"/>
        <v>-93.496363444713793</v>
      </c>
      <c r="R63" s="11">
        <f t="shared" si="13"/>
        <v>-63.982291556867295</v>
      </c>
      <c r="S63" s="11">
        <f t="shared" si="14"/>
        <v>-117.1319666220254</v>
      </c>
      <c r="T63" s="11">
        <f t="shared" si="15"/>
        <v>-114.04141341300101</v>
      </c>
      <c r="U63" s="11">
        <f t="shared" si="16"/>
        <v>-85.196250128773073</v>
      </c>
      <c r="V63" s="11">
        <f t="shared" si="17"/>
        <v>-91.198303287380654</v>
      </c>
      <c r="W63" s="11">
        <f t="shared" si="18"/>
        <v>-88.016967126193009</v>
      </c>
      <c r="X63" s="11">
        <f t="shared" si="19"/>
        <v>-58.324496288441054</v>
      </c>
      <c r="Y63" s="11">
        <f t="shared" si="20"/>
        <v>3</v>
      </c>
      <c r="Z63" s="11">
        <f t="shared" si="21"/>
        <v>28</v>
      </c>
      <c r="AA63" s="7" t="s">
        <v>63</v>
      </c>
      <c r="AB63" s="12" t="s">
        <v>64</v>
      </c>
      <c r="AC63" s="12" t="s">
        <v>65</v>
      </c>
    </row>
    <row r="64" spans="1:29" ht="32">
      <c r="A64" s="7" t="s">
        <v>14</v>
      </c>
      <c r="B64" s="7" t="s">
        <v>195</v>
      </c>
      <c r="C64" s="7" t="s">
        <v>142</v>
      </c>
      <c r="D64" s="7" t="s">
        <v>196</v>
      </c>
      <c r="E64" s="7" t="s">
        <v>138</v>
      </c>
      <c r="F64" s="11">
        <v>-189</v>
      </c>
      <c r="G64" s="11">
        <v>-193</v>
      </c>
      <c r="H64" s="11">
        <v>-197</v>
      </c>
      <c r="I64" s="11">
        <v>-185</v>
      </c>
      <c r="J64" s="11">
        <v>-173</v>
      </c>
      <c r="K64" s="11">
        <v>-165</v>
      </c>
      <c r="L64" s="11">
        <v>-158</v>
      </c>
      <c r="M64" s="11">
        <v>-14.6</v>
      </c>
      <c r="N64" s="11">
        <v>-70.900000000000006</v>
      </c>
      <c r="O64" s="11">
        <v>-57</v>
      </c>
      <c r="P64" s="11">
        <f t="shared" si="11"/>
        <v>-109.89129264880005</v>
      </c>
      <c r="Q64" s="11">
        <f t="shared" si="12"/>
        <v>-101.28080938542683</v>
      </c>
      <c r="R64" s="11">
        <f t="shared" si="13"/>
        <v>-93.746636529975277</v>
      </c>
      <c r="S64" s="11">
        <f t="shared" si="14"/>
        <v>-160.74690481022947</v>
      </c>
      <c r="T64" s="11">
        <f t="shared" si="15"/>
        <v>-152.62837426425824</v>
      </c>
      <c r="U64" s="11">
        <f t="shared" si="16"/>
        <v>-145.52466003653342</v>
      </c>
      <c r="V64" s="11">
        <f t="shared" si="17"/>
        <v>-123.01166489925764</v>
      </c>
      <c r="W64" s="11">
        <f t="shared" si="18"/>
        <v>-114.52810180275719</v>
      </c>
      <c r="X64" s="11">
        <f t="shared" si="19"/>
        <v>-107.10498409331915</v>
      </c>
      <c r="Y64" s="11">
        <f t="shared" si="20"/>
        <v>8</v>
      </c>
      <c r="Z64" s="11">
        <f t="shared" si="21"/>
        <v>7</v>
      </c>
      <c r="AA64" s="7" t="s">
        <v>63</v>
      </c>
      <c r="AB64" s="12" t="s">
        <v>64</v>
      </c>
      <c r="AC64" s="12" t="s">
        <v>65</v>
      </c>
    </row>
    <row r="65" spans="1:29" ht="32">
      <c r="A65" s="7" t="s">
        <v>14</v>
      </c>
      <c r="B65" s="7" t="s">
        <v>197</v>
      </c>
      <c r="C65" s="7" t="s">
        <v>142</v>
      </c>
      <c r="D65" s="7" t="s">
        <v>198</v>
      </c>
      <c r="E65" s="7" t="s">
        <v>138</v>
      </c>
      <c r="F65" s="11">
        <v>-140</v>
      </c>
      <c r="G65" s="11">
        <v>-156</v>
      </c>
      <c r="H65" s="11">
        <v>-179</v>
      </c>
      <c r="I65" s="11">
        <v>-166</v>
      </c>
      <c r="J65" s="11">
        <v>-117</v>
      </c>
      <c r="K65" s="11">
        <v>-141</v>
      </c>
      <c r="L65" s="11">
        <v>-153</v>
      </c>
      <c r="M65" s="11">
        <v>-8.4</v>
      </c>
      <c r="N65" s="11"/>
      <c r="O65" s="11">
        <v>-57</v>
      </c>
      <c r="P65" s="11" t="str">
        <f t="shared" si="11"/>
        <v/>
      </c>
      <c r="Q65" s="11" t="str">
        <f t="shared" si="12"/>
        <v/>
      </c>
      <c r="R65" s="11" t="str">
        <f t="shared" si="13"/>
        <v/>
      </c>
      <c r="S65" s="11">
        <f t="shared" si="14"/>
        <v>-109.51996772892304</v>
      </c>
      <c r="T65" s="11">
        <f t="shared" si="15"/>
        <v>-133.72327551432028</v>
      </c>
      <c r="U65" s="11">
        <f t="shared" si="16"/>
        <v>-145.82492940701897</v>
      </c>
      <c r="V65" s="11">
        <f t="shared" si="17"/>
        <v>-63.626723223753956</v>
      </c>
      <c r="W65" s="11">
        <f t="shared" si="18"/>
        <v>-89.07741251325551</v>
      </c>
      <c r="X65" s="11">
        <f t="shared" si="19"/>
        <v>-101.80275715800636</v>
      </c>
      <c r="Y65" s="11">
        <f t="shared" si="20"/>
        <v>-24</v>
      </c>
      <c r="Z65" s="11">
        <f t="shared" si="21"/>
        <v>-12</v>
      </c>
      <c r="AA65" s="7" t="s">
        <v>63</v>
      </c>
      <c r="AB65" s="12" t="s">
        <v>64</v>
      </c>
      <c r="AC65" s="12" t="s">
        <v>65</v>
      </c>
    </row>
    <row r="66" spans="1:29" ht="32">
      <c r="A66" s="7" t="s">
        <v>14</v>
      </c>
      <c r="B66" s="7" t="s">
        <v>199</v>
      </c>
      <c r="C66" s="7" t="s">
        <v>142</v>
      </c>
      <c r="D66" s="7" t="s">
        <v>200</v>
      </c>
      <c r="E66" s="7" t="s">
        <v>138</v>
      </c>
      <c r="F66" s="11">
        <v>-121</v>
      </c>
      <c r="G66" s="11">
        <v>-145</v>
      </c>
      <c r="H66" s="11"/>
      <c r="I66" s="11">
        <v>-188</v>
      </c>
      <c r="J66" s="11"/>
      <c r="K66" s="11">
        <v>-129</v>
      </c>
      <c r="L66" s="11">
        <v>-160</v>
      </c>
      <c r="M66" s="11">
        <v>-30.4</v>
      </c>
      <c r="N66" s="11">
        <v>-44.2</v>
      </c>
      <c r="O66" s="11">
        <v>-57</v>
      </c>
      <c r="P66" s="11" t="str">
        <f t="shared" ref="P66:P97" si="22">IF(OR(J66="",N66=""),"",1000*((1+J66/1000)/(1+N66/1000)-1))</f>
        <v/>
      </c>
      <c r="Q66" s="11">
        <f t="shared" ref="Q66:Q97" si="23">IF(OR(K66="",N66=""),"",1000*((1+K66/1000)/(1+N66/1000)-1))</f>
        <v>-88.721489851433361</v>
      </c>
      <c r="R66" s="11">
        <f t="shared" ref="R66:R97" si="24">IF(OR(L66="",N66=""),"",1000*((1+L66/1000)/(1+N66/1000)-1))</f>
        <v>-121.15505335844323</v>
      </c>
      <c r="S66" s="11" t="str">
        <f t="shared" ref="S66:S97" si="25">IF(OR(J66="",M66=""),"",1000*((1+J66/1000)/(1+M66/1000)-1))</f>
        <v/>
      </c>
      <c r="T66" s="11">
        <f t="shared" ref="T66:T97" si="26">IF(OR(K66="",M66=""),"",1000*((1+K66/1000)/(1+M66/1000)-1))</f>
        <v>-101.69141914191427</v>
      </c>
      <c r="U66" s="11">
        <f t="shared" ref="U66:U97" si="27">IF(OR(L66="",M66=""),"",1000*((1+L66/1000)/(1+M66/1000)-1))</f>
        <v>-133.66336633663366</v>
      </c>
      <c r="V66" s="11" t="str">
        <f t="shared" ref="V66:V97" si="28">IF(J66="","",1000*((1+J66/1000)/(1+O66/1000)-1))</f>
        <v/>
      </c>
      <c r="W66" s="11">
        <f t="shared" ref="W66:W97" si="29">IF(K66="","",1000*((1+K66/1000)/(1+O66/1000)-1))</f>
        <v>-76.352067868504676</v>
      </c>
      <c r="X66" s="11">
        <f t="shared" ref="X66:X97" si="30">IF(L66="","",1000*((1+L66/1000)/(1+O66/1000)-1))</f>
        <v>-109.22587486744429</v>
      </c>
      <c r="Y66" s="11" t="str">
        <f t="shared" ref="Y66:Y97" si="31">IF(OR(J66="",K66=""),"",K66-J66)</f>
        <v/>
      </c>
      <c r="Z66" s="11">
        <f t="shared" ref="Z66:Z97" si="32">IF(OR(K66="",L66=""),"",L66-K66)</f>
        <v>-31</v>
      </c>
      <c r="AA66" s="7" t="s">
        <v>63</v>
      </c>
      <c r="AB66" s="12" t="s">
        <v>64</v>
      </c>
      <c r="AC66" s="12" t="s">
        <v>65</v>
      </c>
    </row>
    <row r="67" spans="1:29" ht="32">
      <c r="A67" s="7" t="s">
        <v>14</v>
      </c>
      <c r="B67" s="7" t="s">
        <v>201</v>
      </c>
      <c r="C67" s="7" t="s">
        <v>142</v>
      </c>
      <c r="D67" s="7" t="s">
        <v>202</v>
      </c>
      <c r="E67" s="7" t="s">
        <v>138</v>
      </c>
      <c r="F67" s="11"/>
      <c r="G67" s="11"/>
      <c r="H67" s="11"/>
      <c r="I67" s="11"/>
      <c r="J67" s="11"/>
      <c r="K67" s="11">
        <v>-126</v>
      </c>
      <c r="L67" s="11">
        <v>-155</v>
      </c>
      <c r="M67" s="11">
        <v>2.7</v>
      </c>
      <c r="N67" s="11">
        <v>-47.4</v>
      </c>
      <c r="O67" s="11">
        <v>-57</v>
      </c>
      <c r="P67" s="11" t="str">
        <f t="shared" si="22"/>
        <v/>
      </c>
      <c r="Q67" s="11">
        <f t="shared" si="23"/>
        <v>-82.511022464833104</v>
      </c>
      <c r="R67" s="11">
        <f t="shared" si="24"/>
        <v>-112.95402057526771</v>
      </c>
      <c r="S67" s="11" t="str">
        <f t="shared" si="25"/>
        <v/>
      </c>
      <c r="T67" s="11">
        <f t="shared" si="26"/>
        <v>-128.3534456966191</v>
      </c>
      <c r="U67" s="11">
        <f t="shared" si="27"/>
        <v>-157.27535653734915</v>
      </c>
      <c r="V67" s="11" t="str">
        <f t="shared" si="28"/>
        <v/>
      </c>
      <c r="W67" s="11">
        <f t="shared" si="29"/>
        <v>-73.170731707317032</v>
      </c>
      <c r="X67" s="11">
        <f t="shared" si="30"/>
        <v>-103.92364793213149</v>
      </c>
      <c r="Y67" s="11" t="str">
        <f t="shared" si="31"/>
        <v/>
      </c>
      <c r="Z67" s="11">
        <f t="shared" si="32"/>
        <v>-29</v>
      </c>
      <c r="AA67" s="7" t="s">
        <v>63</v>
      </c>
      <c r="AB67" s="12" t="s">
        <v>64</v>
      </c>
      <c r="AC67" s="12" t="s">
        <v>65</v>
      </c>
    </row>
    <row r="68" spans="1:29" ht="32">
      <c r="A68" s="7" t="s">
        <v>14</v>
      </c>
      <c r="B68" s="7" t="s">
        <v>203</v>
      </c>
      <c r="C68" s="7" t="s">
        <v>142</v>
      </c>
      <c r="D68" s="7" t="s">
        <v>204</v>
      </c>
      <c r="E68" s="7" t="s">
        <v>138</v>
      </c>
      <c r="F68" s="11"/>
      <c r="G68" s="11"/>
      <c r="H68" s="11"/>
      <c r="I68" s="11"/>
      <c r="J68" s="11">
        <v>-111</v>
      </c>
      <c r="K68" s="11">
        <v>-154</v>
      </c>
      <c r="L68" s="11">
        <v>-150</v>
      </c>
      <c r="M68" s="11">
        <v>-3.6</v>
      </c>
      <c r="N68" s="11">
        <v>-42.7</v>
      </c>
      <c r="O68" s="11">
        <v>-57</v>
      </c>
      <c r="P68" s="11">
        <f t="shared" si="22"/>
        <v>-71.346495351509503</v>
      </c>
      <c r="Q68" s="11">
        <f t="shared" si="23"/>
        <v>-116.26449388906302</v>
      </c>
      <c r="R68" s="11">
        <f t="shared" si="24"/>
        <v>-112.08607542045345</v>
      </c>
      <c r="S68" s="11">
        <f t="shared" si="25"/>
        <v>-107.78803693295858</v>
      </c>
      <c r="T68" s="11">
        <f t="shared" si="26"/>
        <v>-150.94339622641508</v>
      </c>
      <c r="U68" s="11">
        <f t="shared" si="27"/>
        <v>-146.92894419911684</v>
      </c>
      <c r="V68" s="11">
        <f t="shared" si="28"/>
        <v>-57.264050901378539</v>
      </c>
      <c r="W68" s="11">
        <f t="shared" si="29"/>
        <v>-102.86320254506887</v>
      </c>
      <c r="X68" s="11">
        <f t="shared" si="30"/>
        <v>-98.621420996818586</v>
      </c>
      <c r="Y68" s="11">
        <f t="shared" si="31"/>
        <v>-43</v>
      </c>
      <c r="Z68" s="11">
        <f t="shared" si="32"/>
        <v>4</v>
      </c>
      <c r="AA68" s="7" t="s">
        <v>63</v>
      </c>
      <c r="AB68" s="12" t="s">
        <v>64</v>
      </c>
      <c r="AC68" s="12" t="s">
        <v>65</v>
      </c>
    </row>
    <row r="69" spans="1:29" ht="32">
      <c r="A69" s="7" t="s">
        <v>14</v>
      </c>
      <c r="B69" s="7" t="s">
        <v>205</v>
      </c>
      <c r="C69" s="7" t="s">
        <v>142</v>
      </c>
      <c r="D69" s="7" t="s">
        <v>206</v>
      </c>
      <c r="E69" s="7" t="s">
        <v>138</v>
      </c>
      <c r="F69" s="11">
        <v>-137</v>
      </c>
      <c r="G69" s="11">
        <v>-131</v>
      </c>
      <c r="H69" s="11">
        <v>-155</v>
      </c>
      <c r="I69" s="11">
        <v>-137</v>
      </c>
      <c r="J69" s="11"/>
      <c r="K69" s="11">
        <v>-119</v>
      </c>
      <c r="L69" s="11">
        <v>-129</v>
      </c>
      <c r="M69" s="11">
        <v>2.2999999999999998</v>
      </c>
      <c r="N69" s="11">
        <v>-42.4</v>
      </c>
      <c r="O69" s="11">
        <v>-57</v>
      </c>
      <c r="P69" s="11" t="str">
        <f t="shared" si="22"/>
        <v/>
      </c>
      <c r="Q69" s="11">
        <f t="shared" si="23"/>
        <v>-79.991645781119502</v>
      </c>
      <c r="R69" s="11">
        <f t="shared" si="24"/>
        <v>-90.434419381787862</v>
      </c>
      <c r="S69" s="11" t="str">
        <f t="shared" si="25"/>
        <v/>
      </c>
      <c r="T69" s="11">
        <f t="shared" si="26"/>
        <v>-121.02165020452959</v>
      </c>
      <c r="U69" s="11">
        <f t="shared" si="27"/>
        <v>-130.99870298313877</v>
      </c>
      <c r="V69" s="11" t="str">
        <f t="shared" si="28"/>
        <v/>
      </c>
      <c r="W69" s="11">
        <f t="shared" si="29"/>
        <v>-65.7476139978791</v>
      </c>
      <c r="X69" s="11">
        <f t="shared" si="30"/>
        <v>-76.352067868504676</v>
      </c>
      <c r="Y69" s="11" t="str">
        <f t="shared" si="31"/>
        <v/>
      </c>
      <c r="Z69" s="11">
        <f t="shared" si="32"/>
        <v>-10</v>
      </c>
      <c r="AA69" s="7" t="s">
        <v>63</v>
      </c>
      <c r="AB69" s="12" t="s">
        <v>64</v>
      </c>
      <c r="AC69" s="12" t="s">
        <v>65</v>
      </c>
    </row>
    <row r="70" spans="1:29" ht="32">
      <c r="A70" s="7" t="s">
        <v>14</v>
      </c>
      <c r="B70" s="7" t="s">
        <v>207</v>
      </c>
      <c r="C70" s="7" t="s">
        <v>142</v>
      </c>
      <c r="D70" s="7" t="s">
        <v>208</v>
      </c>
      <c r="E70" s="7" t="s">
        <v>138</v>
      </c>
      <c r="F70" s="11">
        <v>-157</v>
      </c>
      <c r="G70" s="11">
        <v>-147</v>
      </c>
      <c r="H70" s="11">
        <v>-163</v>
      </c>
      <c r="I70" s="11">
        <v>-164</v>
      </c>
      <c r="J70" s="11">
        <v>-69</v>
      </c>
      <c r="K70" s="11">
        <v>-111</v>
      </c>
      <c r="L70" s="11">
        <v>-138</v>
      </c>
      <c r="M70" s="11"/>
      <c r="N70" s="11"/>
      <c r="O70" s="11">
        <v>-57</v>
      </c>
      <c r="P70" s="11" t="str">
        <f t="shared" si="22"/>
        <v/>
      </c>
      <c r="Q70" s="11" t="str">
        <f t="shared" si="23"/>
        <v/>
      </c>
      <c r="R70" s="11" t="str">
        <f t="shared" si="24"/>
        <v/>
      </c>
      <c r="S70" s="11" t="str">
        <f t="shared" si="25"/>
        <v/>
      </c>
      <c r="T70" s="11" t="str">
        <f t="shared" si="26"/>
        <v/>
      </c>
      <c r="U70" s="11" t="str">
        <f t="shared" si="27"/>
        <v/>
      </c>
      <c r="V70" s="11">
        <f t="shared" si="28"/>
        <v>-12.725344644750724</v>
      </c>
      <c r="W70" s="11">
        <f t="shared" si="29"/>
        <v>-57.264050901378539</v>
      </c>
      <c r="X70" s="11">
        <f t="shared" si="30"/>
        <v>-85.896076352067865</v>
      </c>
      <c r="Y70" s="11">
        <f t="shared" si="31"/>
        <v>-42</v>
      </c>
      <c r="Z70" s="11">
        <f t="shared" si="32"/>
        <v>-27</v>
      </c>
      <c r="AA70" s="7" t="s">
        <v>63</v>
      </c>
      <c r="AB70" s="12" t="s">
        <v>64</v>
      </c>
      <c r="AC70" s="12" t="s">
        <v>65</v>
      </c>
    </row>
    <row r="71" spans="1:29" ht="32">
      <c r="A71" s="7" t="s">
        <v>14</v>
      </c>
      <c r="B71" s="7" t="s">
        <v>209</v>
      </c>
      <c r="C71" s="7" t="s">
        <v>210</v>
      </c>
      <c r="D71" s="7" t="s">
        <v>211</v>
      </c>
      <c r="E71" s="7" t="s">
        <v>87</v>
      </c>
      <c r="F71" s="11">
        <v>-196</v>
      </c>
      <c r="G71" s="11">
        <v>-194</v>
      </c>
      <c r="H71" s="11">
        <v>-193</v>
      </c>
      <c r="I71" s="11">
        <v>-188</v>
      </c>
      <c r="J71" s="11">
        <v>-186</v>
      </c>
      <c r="K71" s="11">
        <v>-183</v>
      </c>
      <c r="L71" s="11">
        <v>-171</v>
      </c>
      <c r="M71" s="11">
        <v>-18.100000000000001</v>
      </c>
      <c r="N71" s="11">
        <v>-58.2</v>
      </c>
      <c r="O71" s="11">
        <v>-57</v>
      </c>
      <c r="P71" s="11">
        <f t="shared" si="22"/>
        <v>-135.69760033977485</v>
      </c>
      <c r="Q71" s="11">
        <f t="shared" si="23"/>
        <v>-132.51221066043749</v>
      </c>
      <c r="R71" s="11">
        <f t="shared" si="24"/>
        <v>-119.77065194308767</v>
      </c>
      <c r="S71" s="11">
        <f t="shared" si="25"/>
        <v>-170.9950096751196</v>
      </c>
      <c r="T71" s="11">
        <f t="shared" si="26"/>
        <v>-167.93970872797638</v>
      </c>
      <c r="U71" s="11">
        <f t="shared" si="27"/>
        <v>-155.7185049394032</v>
      </c>
      <c r="V71" s="11">
        <f t="shared" si="28"/>
        <v>-136.79745493107097</v>
      </c>
      <c r="W71" s="11">
        <f t="shared" si="29"/>
        <v>-133.61611876988334</v>
      </c>
      <c r="X71" s="11">
        <f t="shared" si="30"/>
        <v>-120.89077412513261</v>
      </c>
      <c r="Y71" s="11">
        <f t="shared" si="31"/>
        <v>3</v>
      </c>
      <c r="Z71" s="11">
        <f t="shared" si="32"/>
        <v>12</v>
      </c>
      <c r="AA71" s="7" t="s">
        <v>63</v>
      </c>
      <c r="AB71" s="12" t="s">
        <v>64</v>
      </c>
      <c r="AC71" s="12" t="s">
        <v>65</v>
      </c>
    </row>
    <row r="72" spans="1:29" ht="32">
      <c r="A72" s="7" t="s">
        <v>14</v>
      </c>
      <c r="B72" s="7" t="s">
        <v>212</v>
      </c>
      <c r="C72" s="7" t="s">
        <v>210</v>
      </c>
      <c r="D72" s="7" t="s">
        <v>213</v>
      </c>
      <c r="E72" s="7" t="s">
        <v>62</v>
      </c>
      <c r="F72" s="11">
        <v>-150</v>
      </c>
      <c r="G72" s="11">
        <v>-148</v>
      </c>
      <c r="H72" s="11">
        <v>-153</v>
      </c>
      <c r="I72" s="11">
        <v>-158</v>
      </c>
      <c r="J72" s="11">
        <v>-138</v>
      </c>
      <c r="K72" s="11">
        <v>-152</v>
      </c>
      <c r="L72" s="11">
        <v>-156</v>
      </c>
      <c r="M72" s="11">
        <v>-13.5</v>
      </c>
      <c r="N72" s="11">
        <v>-32</v>
      </c>
      <c r="O72" s="11">
        <v>-57</v>
      </c>
      <c r="P72" s="11">
        <f t="shared" si="22"/>
        <v>-109.50413223140498</v>
      </c>
      <c r="Q72" s="11">
        <f t="shared" si="23"/>
        <v>-123.96694214876037</v>
      </c>
      <c r="R72" s="11">
        <f t="shared" si="24"/>
        <v>-128.09917355371903</v>
      </c>
      <c r="S72" s="11">
        <f t="shared" si="25"/>
        <v>-126.20375063355304</v>
      </c>
      <c r="T72" s="11">
        <f t="shared" si="26"/>
        <v>-140.39533705017749</v>
      </c>
      <c r="U72" s="11">
        <f t="shared" si="27"/>
        <v>-144.45007602635584</v>
      </c>
      <c r="V72" s="11">
        <f t="shared" si="28"/>
        <v>-85.896076352067865</v>
      </c>
      <c r="W72" s="11">
        <f t="shared" si="29"/>
        <v>-100.74231177094373</v>
      </c>
      <c r="X72" s="11">
        <f t="shared" si="30"/>
        <v>-104.984093319194</v>
      </c>
      <c r="Y72" s="11">
        <f t="shared" si="31"/>
        <v>-14</v>
      </c>
      <c r="Z72" s="11">
        <f t="shared" si="32"/>
        <v>-4</v>
      </c>
      <c r="AA72" s="7" t="s">
        <v>63</v>
      </c>
      <c r="AB72" s="12" t="s">
        <v>64</v>
      </c>
      <c r="AC72" s="12" t="s">
        <v>65</v>
      </c>
    </row>
    <row r="73" spans="1:29" ht="32">
      <c r="A73" s="7" t="s">
        <v>14</v>
      </c>
      <c r="B73" s="7" t="s">
        <v>214</v>
      </c>
      <c r="C73" s="7" t="s">
        <v>210</v>
      </c>
      <c r="D73" s="7" t="s">
        <v>215</v>
      </c>
      <c r="E73" s="7" t="s">
        <v>138</v>
      </c>
      <c r="F73" s="11">
        <v>-157</v>
      </c>
      <c r="G73" s="11">
        <v>-156</v>
      </c>
      <c r="H73" s="11">
        <v>-158</v>
      </c>
      <c r="I73" s="11">
        <v>-169</v>
      </c>
      <c r="J73" s="11"/>
      <c r="K73" s="11">
        <v>-150</v>
      </c>
      <c r="L73" s="11">
        <v>-162</v>
      </c>
      <c r="M73" s="11">
        <v>-12.8</v>
      </c>
      <c r="N73" s="11">
        <v>-46.5</v>
      </c>
      <c r="O73" s="11">
        <v>-57</v>
      </c>
      <c r="P73" s="11" t="str">
        <f t="shared" si="22"/>
        <v/>
      </c>
      <c r="Q73" s="11">
        <f t="shared" si="23"/>
        <v>-108.54745673833254</v>
      </c>
      <c r="R73" s="11">
        <f t="shared" si="24"/>
        <v>-121.13266911379139</v>
      </c>
      <c r="S73" s="11" t="str">
        <f t="shared" si="25"/>
        <v/>
      </c>
      <c r="T73" s="11">
        <f t="shared" si="26"/>
        <v>-138.97893030794162</v>
      </c>
      <c r="U73" s="11">
        <f t="shared" si="27"/>
        <v>-151.13452188006482</v>
      </c>
      <c r="V73" s="11" t="str">
        <f t="shared" si="28"/>
        <v/>
      </c>
      <c r="W73" s="11">
        <f t="shared" si="29"/>
        <v>-98.621420996818586</v>
      </c>
      <c r="X73" s="11">
        <f t="shared" si="30"/>
        <v>-111.34676564156942</v>
      </c>
      <c r="Y73" s="11" t="str">
        <f t="shared" si="31"/>
        <v/>
      </c>
      <c r="Z73" s="11">
        <f t="shared" si="32"/>
        <v>-12</v>
      </c>
      <c r="AA73" s="7" t="s">
        <v>63</v>
      </c>
      <c r="AB73" s="12" t="s">
        <v>64</v>
      </c>
      <c r="AC73" s="12" t="s">
        <v>65</v>
      </c>
    </row>
    <row r="74" spans="1:29" ht="32">
      <c r="A74" s="7" t="s">
        <v>14</v>
      </c>
      <c r="B74" s="7" t="s">
        <v>216</v>
      </c>
      <c r="C74" s="7" t="s">
        <v>217</v>
      </c>
      <c r="D74" s="7" t="s">
        <v>218</v>
      </c>
      <c r="E74" s="7" t="s">
        <v>62</v>
      </c>
      <c r="F74" s="11">
        <v>-187</v>
      </c>
      <c r="G74" s="11">
        <v>-186</v>
      </c>
      <c r="H74" s="11">
        <v>-195</v>
      </c>
      <c r="I74" s="11">
        <v>-203</v>
      </c>
      <c r="J74" s="11">
        <v>-166</v>
      </c>
      <c r="K74" s="11">
        <v>-181</v>
      </c>
      <c r="L74" s="11">
        <v>-184</v>
      </c>
      <c r="M74" s="11">
        <v>-8.6</v>
      </c>
      <c r="N74" s="11">
        <v>-49.5</v>
      </c>
      <c r="O74" s="11">
        <v>-57</v>
      </c>
      <c r="P74" s="11">
        <f t="shared" si="22"/>
        <v>-122.56706996317735</v>
      </c>
      <c r="Q74" s="11">
        <f t="shared" si="23"/>
        <v>-138.34823776959504</v>
      </c>
      <c r="R74" s="11">
        <f t="shared" si="24"/>
        <v>-141.5044713308784</v>
      </c>
      <c r="S74" s="11">
        <f t="shared" si="25"/>
        <v>-158.76538228767402</v>
      </c>
      <c r="T74" s="11">
        <f t="shared" si="26"/>
        <v>-173.89550131127694</v>
      </c>
      <c r="U74" s="11">
        <f t="shared" si="27"/>
        <v>-176.92152511599747</v>
      </c>
      <c r="V74" s="11">
        <f t="shared" si="28"/>
        <v>-115.58854718981971</v>
      </c>
      <c r="W74" s="11">
        <f t="shared" si="29"/>
        <v>-131.4952279957582</v>
      </c>
      <c r="X74" s="11">
        <f t="shared" si="30"/>
        <v>-134.67656415694586</v>
      </c>
      <c r="Y74" s="11">
        <f t="shared" si="31"/>
        <v>-15</v>
      </c>
      <c r="Z74" s="11">
        <f t="shared" si="32"/>
        <v>-3</v>
      </c>
      <c r="AA74" s="7" t="s">
        <v>63</v>
      </c>
      <c r="AB74" s="12" t="s">
        <v>64</v>
      </c>
      <c r="AC74" s="12" t="s">
        <v>65</v>
      </c>
    </row>
    <row r="75" spans="1:29" ht="32">
      <c r="A75" s="7" t="s">
        <v>14</v>
      </c>
      <c r="B75" s="7" t="s">
        <v>219</v>
      </c>
      <c r="C75" s="7" t="s">
        <v>217</v>
      </c>
      <c r="D75" s="7" t="s">
        <v>220</v>
      </c>
      <c r="E75" s="7" t="s">
        <v>62</v>
      </c>
      <c r="F75" s="11">
        <v>-155</v>
      </c>
      <c r="G75" s="11">
        <v>-168</v>
      </c>
      <c r="H75" s="11">
        <v>-167</v>
      </c>
      <c r="I75" s="11">
        <v>-164</v>
      </c>
      <c r="J75" s="11"/>
      <c r="K75" s="11">
        <v>-145</v>
      </c>
      <c r="L75" s="11">
        <v>-158</v>
      </c>
      <c r="M75" s="11">
        <v>1.8</v>
      </c>
      <c r="N75" s="11">
        <v>-44.2</v>
      </c>
      <c r="O75" s="11">
        <v>-57</v>
      </c>
      <c r="P75" s="11" t="str">
        <f t="shared" si="22"/>
        <v/>
      </c>
      <c r="Q75" s="11">
        <f t="shared" si="23"/>
        <v>-105.46139359698681</v>
      </c>
      <c r="R75" s="11">
        <f t="shared" si="24"/>
        <v>-119.06256539024906</v>
      </c>
      <c r="S75" s="11" t="str">
        <f t="shared" si="25"/>
        <v/>
      </c>
      <c r="T75" s="11">
        <f t="shared" si="26"/>
        <v>-146.53623477740075</v>
      </c>
      <c r="U75" s="11">
        <f t="shared" si="27"/>
        <v>-159.51287682172099</v>
      </c>
      <c r="V75" s="11" t="str">
        <f t="shared" si="28"/>
        <v/>
      </c>
      <c r="W75" s="11">
        <f t="shared" si="29"/>
        <v>-93.319194061505797</v>
      </c>
      <c r="X75" s="11">
        <f t="shared" si="30"/>
        <v>-107.10498409331915</v>
      </c>
      <c r="Y75" s="11" t="str">
        <f t="shared" si="31"/>
        <v/>
      </c>
      <c r="Z75" s="11">
        <f t="shared" si="32"/>
        <v>-13</v>
      </c>
      <c r="AA75" s="7" t="s">
        <v>63</v>
      </c>
      <c r="AB75" s="12" t="s">
        <v>64</v>
      </c>
      <c r="AC75" s="12" t="s">
        <v>65</v>
      </c>
    </row>
    <row r="76" spans="1:29" ht="32">
      <c r="A76" s="7" t="s">
        <v>14</v>
      </c>
      <c r="B76" s="7" t="s">
        <v>221</v>
      </c>
      <c r="C76" s="7" t="s">
        <v>217</v>
      </c>
      <c r="D76" s="7" t="s">
        <v>222</v>
      </c>
      <c r="E76" s="7" t="s">
        <v>62</v>
      </c>
      <c r="F76" s="11">
        <v>-176</v>
      </c>
      <c r="G76" s="11">
        <v>-191</v>
      </c>
      <c r="H76" s="11">
        <v>-199</v>
      </c>
      <c r="I76" s="11">
        <v>-204</v>
      </c>
      <c r="J76" s="11">
        <v>-179</v>
      </c>
      <c r="K76" s="11">
        <v>-180</v>
      </c>
      <c r="L76" s="11">
        <v>-186</v>
      </c>
      <c r="M76" s="11">
        <v>-37.1</v>
      </c>
      <c r="N76" s="11">
        <v>-63.6</v>
      </c>
      <c r="O76" s="11">
        <v>-57</v>
      </c>
      <c r="P76" s="11">
        <f t="shared" si="22"/>
        <v>-123.23793250747551</v>
      </c>
      <c r="Q76" s="11">
        <f t="shared" si="23"/>
        <v>-124.30585219991453</v>
      </c>
      <c r="R76" s="11">
        <f t="shared" si="24"/>
        <v>-130.71337035454934</v>
      </c>
      <c r="S76" s="11">
        <f t="shared" si="25"/>
        <v>-147.36732786374495</v>
      </c>
      <c r="T76" s="11">
        <f t="shared" si="26"/>
        <v>-148.40585730605449</v>
      </c>
      <c r="U76" s="11">
        <f t="shared" si="27"/>
        <v>-154.63703395991269</v>
      </c>
      <c r="V76" s="11">
        <f t="shared" si="28"/>
        <v>-129.37433722163306</v>
      </c>
      <c r="W76" s="11">
        <f t="shared" si="29"/>
        <v>-130.43478260869557</v>
      </c>
      <c r="X76" s="11">
        <f t="shared" si="30"/>
        <v>-136.79745493107097</v>
      </c>
      <c r="Y76" s="11">
        <f t="shared" si="31"/>
        <v>-1</v>
      </c>
      <c r="Z76" s="11">
        <f t="shared" si="32"/>
        <v>-6</v>
      </c>
      <c r="AA76" s="7" t="s">
        <v>63</v>
      </c>
      <c r="AB76" s="12" t="s">
        <v>64</v>
      </c>
      <c r="AC76" s="12" t="s">
        <v>65</v>
      </c>
    </row>
    <row r="77" spans="1:29" ht="32">
      <c r="A77" s="7" t="s">
        <v>14</v>
      </c>
      <c r="B77" s="7" t="s">
        <v>223</v>
      </c>
      <c r="C77" s="7" t="s">
        <v>217</v>
      </c>
      <c r="D77" s="7" t="s">
        <v>224</v>
      </c>
      <c r="E77" s="7" t="s">
        <v>62</v>
      </c>
      <c r="F77" s="11">
        <v>-165</v>
      </c>
      <c r="G77" s="11">
        <v>-176</v>
      </c>
      <c r="H77" s="11">
        <v>-179</v>
      </c>
      <c r="I77" s="11">
        <v>-180</v>
      </c>
      <c r="J77" s="11">
        <v>-154</v>
      </c>
      <c r="K77" s="11">
        <v>-169</v>
      </c>
      <c r="L77" s="11">
        <v>-188</v>
      </c>
      <c r="M77" s="11">
        <v>-0.9</v>
      </c>
      <c r="N77" s="11">
        <v>-48.3</v>
      </c>
      <c r="O77" s="11">
        <v>-57</v>
      </c>
      <c r="P77" s="11">
        <f t="shared" si="22"/>
        <v>-111.06441105390353</v>
      </c>
      <c r="Q77" s="11">
        <f t="shared" si="23"/>
        <v>-126.82568036145847</v>
      </c>
      <c r="R77" s="11">
        <f t="shared" si="24"/>
        <v>-146.78995481769462</v>
      </c>
      <c r="S77" s="11">
        <f t="shared" si="25"/>
        <v>-153.23791412271049</v>
      </c>
      <c r="T77" s="11">
        <f t="shared" si="26"/>
        <v>-168.25142628365529</v>
      </c>
      <c r="U77" s="11">
        <f t="shared" si="27"/>
        <v>-187.26854168751871</v>
      </c>
      <c r="V77" s="11">
        <f t="shared" si="28"/>
        <v>-102.86320254506887</v>
      </c>
      <c r="W77" s="11">
        <f t="shared" si="29"/>
        <v>-118.76988335100746</v>
      </c>
      <c r="X77" s="11">
        <f t="shared" si="30"/>
        <v>-138.91834570519612</v>
      </c>
      <c r="Y77" s="11">
        <f t="shared" si="31"/>
        <v>-15</v>
      </c>
      <c r="Z77" s="11">
        <f t="shared" si="32"/>
        <v>-19</v>
      </c>
      <c r="AA77" s="7" t="s">
        <v>63</v>
      </c>
      <c r="AB77" s="12" t="s">
        <v>64</v>
      </c>
      <c r="AC77" s="12" t="s">
        <v>65</v>
      </c>
    </row>
    <row r="78" spans="1:29" ht="32">
      <c r="A78" s="7" t="s">
        <v>14</v>
      </c>
      <c r="B78" s="7" t="s">
        <v>225</v>
      </c>
      <c r="C78" s="7" t="s">
        <v>217</v>
      </c>
      <c r="D78" s="7" t="s">
        <v>226</v>
      </c>
      <c r="E78" s="7" t="s">
        <v>62</v>
      </c>
      <c r="F78" s="11">
        <v>-140</v>
      </c>
      <c r="G78" s="11">
        <v>-146</v>
      </c>
      <c r="H78" s="11">
        <v>-157</v>
      </c>
      <c r="I78" s="11">
        <v>-151</v>
      </c>
      <c r="J78" s="11">
        <v>-148</v>
      </c>
      <c r="K78" s="11">
        <v>-152</v>
      </c>
      <c r="L78" s="11">
        <v>-161</v>
      </c>
      <c r="M78" s="11">
        <v>9</v>
      </c>
      <c r="N78" s="11">
        <v>-7.6</v>
      </c>
      <c r="O78" s="11">
        <v>-57</v>
      </c>
      <c r="P78" s="11">
        <f t="shared" si="22"/>
        <v>-141.47521160822251</v>
      </c>
      <c r="Q78" s="11">
        <f t="shared" si="23"/>
        <v>-145.50584441757351</v>
      </c>
      <c r="R78" s="11">
        <f t="shared" si="24"/>
        <v>-154.5747682386135</v>
      </c>
      <c r="S78" s="11">
        <f t="shared" si="25"/>
        <v>-155.59960356788892</v>
      </c>
      <c r="T78" s="11">
        <f t="shared" si="26"/>
        <v>-159.56392467789883</v>
      </c>
      <c r="U78" s="11">
        <f t="shared" si="27"/>
        <v>-168.4836471754212</v>
      </c>
      <c r="V78" s="11">
        <f t="shared" si="28"/>
        <v>-96.500530222693556</v>
      </c>
      <c r="W78" s="11">
        <f t="shared" si="29"/>
        <v>-100.74231177094373</v>
      </c>
      <c r="X78" s="11">
        <f t="shared" si="30"/>
        <v>-110.2863202545069</v>
      </c>
      <c r="Y78" s="11">
        <f t="shared" si="31"/>
        <v>-4</v>
      </c>
      <c r="Z78" s="11">
        <f t="shared" si="32"/>
        <v>-9</v>
      </c>
      <c r="AA78" s="7" t="s">
        <v>63</v>
      </c>
      <c r="AB78" s="12" t="s">
        <v>64</v>
      </c>
      <c r="AC78" s="12" t="s">
        <v>65</v>
      </c>
    </row>
    <row r="79" spans="1:29" ht="32">
      <c r="A79" s="7" t="s">
        <v>14</v>
      </c>
      <c r="B79" s="7" t="s">
        <v>227</v>
      </c>
      <c r="C79" s="7" t="s">
        <v>217</v>
      </c>
      <c r="D79" s="7" t="s">
        <v>228</v>
      </c>
      <c r="E79" s="7" t="s">
        <v>62</v>
      </c>
      <c r="F79" s="11">
        <v>-193</v>
      </c>
      <c r="G79" s="11">
        <v>-205</v>
      </c>
      <c r="H79" s="11">
        <v>-214</v>
      </c>
      <c r="I79" s="11">
        <v>-221</v>
      </c>
      <c r="J79" s="11">
        <v>-197</v>
      </c>
      <c r="K79" s="11">
        <v>-197</v>
      </c>
      <c r="L79" s="11">
        <v>-186</v>
      </c>
      <c r="M79" s="11">
        <v>-32.6</v>
      </c>
      <c r="N79" s="11">
        <v>-64.7</v>
      </c>
      <c r="O79" s="11">
        <v>-57</v>
      </c>
      <c r="P79" s="11">
        <f t="shared" si="22"/>
        <v>-141.45194055383303</v>
      </c>
      <c r="Q79" s="11">
        <f t="shared" si="23"/>
        <v>-141.45194055383303</v>
      </c>
      <c r="R79" s="11">
        <f t="shared" si="24"/>
        <v>-129.69100823265256</v>
      </c>
      <c r="S79" s="11">
        <f t="shared" si="25"/>
        <v>-169.94004548273733</v>
      </c>
      <c r="T79" s="11">
        <f t="shared" si="26"/>
        <v>-169.94004548273733</v>
      </c>
      <c r="U79" s="11">
        <f t="shared" si="27"/>
        <v>-158.56936117428154</v>
      </c>
      <c r="V79" s="11">
        <f t="shared" si="28"/>
        <v>-148.46235418875929</v>
      </c>
      <c r="W79" s="11">
        <f t="shared" si="29"/>
        <v>-148.46235418875929</v>
      </c>
      <c r="X79" s="11">
        <f t="shared" si="30"/>
        <v>-136.79745493107097</v>
      </c>
      <c r="Y79" s="11">
        <f t="shared" si="31"/>
        <v>0</v>
      </c>
      <c r="Z79" s="11">
        <f t="shared" si="32"/>
        <v>11</v>
      </c>
      <c r="AA79" s="7" t="s">
        <v>63</v>
      </c>
      <c r="AB79" s="12" t="s">
        <v>64</v>
      </c>
      <c r="AC79" s="12" t="s">
        <v>65</v>
      </c>
    </row>
    <row r="80" spans="1:29" ht="32">
      <c r="A80" s="7" t="s">
        <v>14</v>
      </c>
      <c r="B80" s="7" t="s">
        <v>229</v>
      </c>
      <c r="C80" s="7" t="s">
        <v>217</v>
      </c>
      <c r="D80" s="7" t="s">
        <v>230</v>
      </c>
      <c r="E80" s="7" t="s">
        <v>62</v>
      </c>
      <c r="F80" s="11">
        <v>-148</v>
      </c>
      <c r="G80" s="11">
        <v>-157</v>
      </c>
      <c r="H80" s="11">
        <v>-166</v>
      </c>
      <c r="I80" s="11">
        <v>-163</v>
      </c>
      <c r="J80" s="11">
        <v>-175</v>
      </c>
      <c r="K80" s="11">
        <v>-172</v>
      </c>
      <c r="L80" s="11"/>
      <c r="M80" s="11">
        <v>-16.8</v>
      </c>
      <c r="N80" s="11">
        <v>-44.8</v>
      </c>
      <c r="O80" s="11">
        <v>-57</v>
      </c>
      <c r="P80" s="11">
        <f t="shared" si="22"/>
        <v>-136.30653266331672</v>
      </c>
      <c r="Q80" s="11">
        <f t="shared" si="23"/>
        <v>-133.16582914572862</v>
      </c>
      <c r="R80" s="11" t="str">
        <f t="shared" si="24"/>
        <v/>
      </c>
      <c r="S80" s="11">
        <f t="shared" si="25"/>
        <v>-160.9031733116355</v>
      </c>
      <c r="T80" s="11">
        <f t="shared" si="26"/>
        <v>-157.85191212367766</v>
      </c>
      <c r="U80" s="11" t="str">
        <f t="shared" si="27"/>
        <v/>
      </c>
      <c r="V80" s="11">
        <f t="shared" si="28"/>
        <v>-125.13255567338277</v>
      </c>
      <c r="W80" s="11">
        <f t="shared" si="29"/>
        <v>-121.95121951219501</v>
      </c>
      <c r="X80" s="11" t="str">
        <f t="shared" si="30"/>
        <v/>
      </c>
      <c r="Y80" s="11">
        <f t="shared" si="31"/>
        <v>3</v>
      </c>
      <c r="Z80" s="11" t="str">
        <f t="shared" si="32"/>
        <v/>
      </c>
      <c r="AA80" s="7" t="s">
        <v>63</v>
      </c>
      <c r="AB80" s="12" t="s">
        <v>64</v>
      </c>
      <c r="AC80" s="12" t="s">
        <v>65</v>
      </c>
    </row>
    <row r="81" spans="1:29" ht="32">
      <c r="A81" s="7" t="s">
        <v>14</v>
      </c>
      <c r="B81" s="7" t="s">
        <v>231</v>
      </c>
      <c r="C81" s="7" t="s">
        <v>217</v>
      </c>
      <c r="D81" s="7" t="s">
        <v>232</v>
      </c>
      <c r="E81" s="7" t="s">
        <v>62</v>
      </c>
      <c r="F81" s="11">
        <v>-188</v>
      </c>
      <c r="G81" s="11">
        <v>-202</v>
      </c>
      <c r="H81" s="11">
        <v>-207</v>
      </c>
      <c r="I81" s="11">
        <v>-203</v>
      </c>
      <c r="J81" s="11">
        <v>-119</v>
      </c>
      <c r="K81" s="11">
        <v>-165</v>
      </c>
      <c r="L81" s="11"/>
      <c r="M81" s="11">
        <v>-33.799999999999997</v>
      </c>
      <c r="N81" s="11">
        <v>-53.3</v>
      </c>
      <c r="O81" s="11">
        <v>-57</v>
      </c>
      <c r="P81" s="11">
        <f t="shared" si="22"/>
        <v>-69.398964825182148</v>
      </c>
      <c r="Q81" s="11">
        <f t="shared" si="23"/>
        <v>-117.98880321115458</v>
      </c>
      <c r="R81" s="11" t="str">
        <f t="shared" si="24"/>
        <v/>
      </c>
      <c r="S81" s="11">
        <f t="shared" si="25"/>
        <v>-88.180500931484104</v>
      </c>
      <c r="T81" s="11">
        <f t="shared" si="26"/>
        <v>-135.78969157524324</v>
      </c>
      <c r="U81" s="11" t="str">
        <f t="shared" si="27"/>
        <v/>
      </c>
      <c r="V81" s="11">
        <f t="shared" si="28"/>
        <v>-65.7476139978791</v>
      </c>
      <c r="W81" s="11">
        <f t="shared" si="29"/>
        <v>-114.52810180275719</v>
      </c>
      <c r="X81" s="11" t="str">
        <f t="shared" si="30"/>
        <v/>
      </c>
      <c r="Y81" s="11">
        <f t="shared" si="31"/>
        <v>-46</v>
      </c>
      <c r="Z81" s="11" t="str">
        <f t="shared" si="32"/>
        <v/>
      </c>
      <c r="AA81" s="7" t="s">
        <v>63</v>
      </c>
      <c r="AB81" s="12" t="s">
        <v>64</v>
      </c>
      <c r="AC81" s="12" t="s">
        <v>65</v>
      </c>
    </row>
    <row r="82" spans="1:29" ht="32">
      <c r="A82" s="7" t="s">
        <v>14</v>
      </c>
      <c r="B82" s="7" t="s">
        <v>233</v>
      </c>
      <c r="C82" s="7" t="s">
        <v>217</v>
      </c>
      <c r="D82" s="7" t="s">
        <v>234</v>
      </c>
      <c r="E82" s="7" t="s">
        <v>62</v>
      </c>
      <c r="F82" s="11">
        <v>-203</v>
      </c>
      <c r="G82" s="11">
        <v>-200</v>
      </c>
      <c r="H82" s="11">
        <v>-218</v>
      </c>
      <c r="I82" s="11">
        <v>-206</v>
      </c>
      <c r="J82" s="11">
        <v>-154</v>
      </c>
      <c r="K82" s="11">
        <v>-194</v>
      </c>
      <c r="L82" s="11">
        <v>-230</v>
      </c>
      <c r="M82" s="11">
        <v>-19.600000000000001</v>
      </c>
      <c r="N82" s="11">
        <v>-57.2</v>
      </c>
      <c r="O82" s="11">
        <v>-57</v>
      </c>
      <c r="P82" s="11">
        <f t="shared" si="22"/>
        <v>-102.67288926601614</v>
      </c>
      <c r="Q82" s="11">
        <f t="shared" si="23"/>
        <v>-145.09970301230368</v>
      </c>
      <c r="R82" s="11">
        <f t="shared" si="24"/>
        <v>-183.28383538396264</v>
      </c>
      <c r="S82" s="11">
        <f t="shared" si="25"/>
        <v>-137.08690330477359</v>
      </c>
      <c r="T82" s="11">
        <f t="shared" si="26"/>
        <v>-177.88657690738475</v>
      </c>
      <c r="U82" s="11">
        <f t="shared" si="27"/>
        <v>-214.60628314973485</v>
      </c>
      <c r="V82" s="11">
        <f t="shared" si="28"/>
        <v>-102.86320254506887</v>
      </c>
      <c r="W82" s="11">
        <f t="shared" si="29"/>
        <v>-145.28101802757143</v>
      </c>
      <c r="X82" s="11">
        <f t="shared" si="30"/>
        <v>-183.45705196182394</v>
      </c>
      <c r="Y82" s="11">
        <f t="shared" si="31"/>
        <v>-40</v>
      </c>
      <c r="Z82" s="11">
        <f t="shared" si="32"/>
        <v>-36</v>
      </c>
      <c r="AA82" s="7" t="s">
        <v>63</v>
      </c>
      <c r="AB82" s="12" t="s">
        <v>64</v>
      </c>
      <c r="AC82" s="12" t="s">
        <v>65</v>
      </c>
    </row>
    <row r="83" spans="1:29" ht="32">
      <c r="A83" s="7" t="s">
        <v>14</v>
      </c>
      <c r="B83" s="7" t="s">
        <v>235</v>
      </c>
      <c r="C83" s="7" t="s">
        <v>217</v>
      </c>
      <c r="D83" s="7" t="s">
        <v>236</v>
      </c>
      <c r="E83" s="7" t="s">
        <v>62</v>
      </c>
      <c r="F83" s="11">
        <v>-184</v>
      </c>
      <c r="G83" s="11">
        <v>-186</v>
      </c>
      <c r="H83" s="11">
        <v>-178</v>
      </c>
      <c r="I83" s="11">
        <v>-172</v>
      </c>
      <c r="J83" s="11">
        <v>-170</v>
      </c>
      <c r="K83" s="11">
        <v>-169</v>
      </c>
      <c r="L83" s="11">
        <v>-156</v>
      </c>
      <c r="M83" s="11">
        <v>-46.2</v>
      </c>
      <c r="N83" s="11">
        <v>-53.1</v>
      </c>
      <c r="O83" s="11">
        <v>-57</v>
      </c>
      <c r="P83" s="11">
        <f t="shared" si="22"/>
        <v>-123.45548632379344</v>
      </c>
      <c r="Q83" s="11">
        <f t="shared" si="23"/>
        <v>-122.3994085964727</v>
      </c>
      <c r="R83" s="11">
        <f t="shared" si="24"/>
        <v>-108.6703981413032</v>
      </c>
      <c r="S83" s="11">
        <f t="shared" si="25"/>
        <v>-129.79660306143847</v>
      </c>
      <c r="T83" s="11">
        <f t="shared" si="26"/>
        <v>-128.74816523380161</v>
      </c>
      <c r="U83" s="11">
        <f t="shared" si="27"/>
        <v>-115.11847347452297</v>
      </c>
      <c r="V83" s="11">
        <f t="shared" si="28"/>
        <v>-119.83032873806998</v>
      </c>
      <c r="W83" s="11">
        <f t="shared" si="29"/>
        <v>-118.76988335100746</v>
      </c>
      <c r="X83" s="11">
        <f t="shared" si="30"/>
        <v>-104.984093319194</v>
      </c>
      <c r="Y83" s="11">
        <f t="shared" si="31"/>
        <v>1</v>
      </c>
      <c r="Z83" s="11">
        <f t="shared" si="32"/>
        <v>13</v>
      </c>
      <c r="AA83" s="7" t="s">
        <v>63</v>
      </c>
      <c r="AB83" s="12" t="s">
        <v>64</v>
      </c>
      <c r="AC83" s="12" t="s">
        <v>65</v>
      </c>
    </row>
    <row r="84" spans="1:29" ht="32">
      <c r="A84" s="7" t="s">
        <v>14</v>
      </c>
      <c r="B84" s="7" t="s">
        <v>237</v>
      </c>
      <c r="C84" s="7" t="s">
        <v>217</v>
      </c>
      <c r="D84" s="7" t="s">
        <v>238</v>
      </c>
      <c r="E84" s="7" t="s">
        <v>87</v>
      </c>
      <c r="F84" s="11">
        <v>-197</v>
      </c>
      <c r="G84" s="11">
        <v>-196</v>
      </c>
      <c r="H84" s="11">
        <v>-204</v>
      </c>
      <c r="I84" s="11">
        <v>-197</v>
      </c>
      <c r="J84" s="11">
        <v>-190</v>
      </c>
      <c r="K84" s="11">
        <v>-198</v>
      </c>
      <c r="L84" s="11">
        <v>-197</v>
      </c>
      <c r="M84" s="11">
        <v>-13.8</v>
      </c>
      <c r="N84" s="11">
        <v>-55.2</v>
      </c>
      <c r="O84" s="11">
        <v>-57</v>
      </c>
      <c r="P84" s="11">
        <f t="shared" si="22"/>
        <v>-142.67569856054186</v>
      </c>
      <c r="Q84" s="11">
        <f t="shared" si="23"/>
        <v>-151.14309906858591</v>
      </c>
      <c r="R84" s="11">
        <f t="shared" si="24"/>
        <v>-150.08467400508053</v>
      </c>
      <c r="S84" s="11">
        <f t="shared" si="25"/>
        <v>-178.66558507402141</v>
      </c>
      <c r="T84" s="11">
        <f t="shared" si="26"/>
        <v>-186.7775299127965</v>
      </c>
      <c r="U84" s="11">
        <f t="shared" si="27"/>
        <v>-185.76353680794978</v>
      </c>
      <c r="V84" s="11">
        <f t="shared" si="28"/>
        <v>-141.03923647932126</v>
      </c>
      <c r="W84" s="11">
        <f t="shared" si="29"/>
        <v>-149.52279957582169</v>
      </c>
      <c r="X84" s="11">
        <f t="shared" si="30"/>
        <v>-148.46235418875929</v>
      </c>
      <c r="Y84" s="11">
        <f t="shared" si="31"/>
        <v>-8</v>
      </c>
      <c r="Z84" s="11">
        <f t="shared" si="32"/>
        <v>1</v>
      </c>
      <c r="AA84" s="7" t="s">
        <v>63</v>
      </c>
      <c r="AB84" s="12" t="s">
        <v>64</v>
      </c>
      <c r="AC84" s="12" t="s">
        <v>65</v>
      </c>
    </row>
    <row r="85" spans="1:29" ht="32">
      <c r="A85" s="7" t="s">
        <v>14</v>
      </c>
      <c r="B85" s="7" t="s">
        <v>239</v>
      </c>
      <c r="C85" s="7" t="s">
        <v>217</v>
      </c>
      <c r="D85" s="7" t="s">
        <v>240</v>
      </c>
      <c r="E85" s="7" t="s">
        <v>87</v>
      </c>
      <c r="F85" s="11">
        <v>-175</v>
      </c>
      <c r="G85" s="11">
        <v>-188</v>
      </c>
      <c r="H85" s="11">
        <v>-193</v>
      </c>
      <c r="I85" s="11">
        <v>-195</v>
      </c>
      <c r="J85" s="11"/>
      <c r="K85" s="11">
        <v>-159</v>
      </c>
      <c r="L85" s="11">
        <v>-195</v>
      </c>
      <c r="M85" s="11">
        <v>-12.8</v>
      </c>
      <c r="N85" s="11">
        <v>-48.5</v>
      </c>
      <c r="O85" s="11">
        <v>-57</v>
      </c>
      <c r="P85" s="11" t="str">
        <f t="shared" si="22"/>
        <v/>
      </c>
      <c r="Q85" s="11">
        <f t="shared" si="23"/>
        <v>-116.13242249080402</v>
      </c>
      <c r="R85" s="11">
        <f t="shared" si="24"/>
        <v>-153.96741986337369</v>
      </c>
      <c r="S85" s="11" t="str">
        <f t="shared" si="25"/>
        <v/>
      </c>
      <c r="T85" s="11">
        <f t="shared" si="26"/>
        <v>-148.09562398703403</v>
      </c>
      <c r="U85" s="11">
        <f t="shared" si="27"/>
        <v>-184.56239870340363</v>
      </c>
      <c r="V85" s="11" t="str">
        <f t="shared" si="28"/>
        <v/>
      </c>
      <c r="W85" s="11">
        <f t="shared" si="29"/>
        <v>-108.16542948038177</v>
      </c>
      <c r="X85" s="11">
        <f t="shared" si="30"/>
        <v>-146.34146341463418</v>
      </c>
      <c r="Y85" s="11" t="str">
        <f t="shared" si="31"/>
        <v/>
      </c>
      <c r="Z85" s="11">
        <f t="shared" si="32"/>
        <v>-36</v>
      </c>
      <c r="AA85" s="7" t="s">
        <v>63</v>
      </c>
      <c r="AB85" s="12" t="s">
        <v>64</v>
      </c>
      <c r="AC85" s="12" t="s">
        <v>65</v>
      </c>
    </row>
    <row r="86" spans="1:29" ht="32">
      <c r="A86" s="7" t="s">
        <v>14</v>
      </c>
      <c r="B86" s="7" t="s">
        <v>241</v>
      </c>
      <c r="C86" s="7" t="s">
        <v>217</v>
      </c>
      <c r="D86" s="7" t="s">
        <v>242</v>
      </c>
      <c r="E86" s="7" t="s">
        <v>87</v>
      </c>
      <c r="F86" s="11">
        <v>-211</v>
      </c>
      <c r="G86" s="11">
        <v>-200</v>
      </c>
      <c r="H86" s="11">
        <v>-208</v>
      </c>
      <c r="I86" s="11">
        <v>-198</v>
      </c>
      <c r="J86" s="11">
        <v>-148</v>
      </c>
      <c r="K86" s="11">
        <v>-153</v>
      </c>
      <c r="L86" s="11">
        <v>-134</v>
      </c>
      <c r="M86" s="11">
        <v>-19</v>
      </c>
      <c r="N86" s="11">
        <v>-51.5</v>
      </c>
      <c r="O86" s="11">
        <v>-57</v>
      </c>
      <c r="P86" s="11">
        <f t="shared" si="22"/>
        <v>-101.73958882445966</v>
      </c>
      <c r="Q86" s="11">
        <f t="shared" si="23"/>
        <v>-107.0110701107011</v>
      </c>
      <c r="R86" s="11">
        <f t="shared" si="24"/>
        <v>-86.979441222983624</v>
      </c>
      <c r="S86" s="11">
        <f t="shared" si="25"/>
        <v>-131.49847094801225</v>
      </c>
      <c r="T86" s="11">
        <f t="shared" si="26"/>
        <v>-136.59531090723755</v>
      </c>
      <c r="U86" s="11">
        <f t="shared" si="27"/>
        <v>-117.22731906218142</v>
      </c>
      <c r="V86" s="11">
        <f t="shared" si="28"/>
        <v>-96.500530222693556</v>
      </c>
      <c r="W86" s="11">
        <f t="shared" si="29"/>
        <v>-101.80275715800636</v>
      </c>
      <c r="X86" s="11">
        <f t="shared" si="30"/>
        <v>-81.654294803817578</v>
      </c>
      <c r="Y86" s="11">
        <f t="shared" si="31"/>
        <v>-5</v>
      </c>
      <c r="Z86" s="11">
        <f t="shared" si="32"/>
        <v>19</v>
      </c>
      <c r="AA86" s="7" t="s">
        <v>63</v>
      </c>
      <c r="AB86" s="12" t="s">
        <v>64</v>
      </c>
      <c r="AC86" s="12" t="s">
        <v>65</v>
      </c>
    </row>
    <row r="87" spans="1:29" ht="32">
      <c r="A87" s="7" t="s">
        <v>14</v>
      </c>
      <c r="B87" s="7" t="s">
        <v>243</v>
      </c>
      <c r="C87" s="7" t="s">
        <v>217</v>
      </c>
      <c r="D87" s="7" t="s">
        <v>244</v>
      </c>
      <c r="E87" s="7" t="s">
        <v>87</v>
      </c>
      <c r="F87" s="11">
        <v>-164</v>
      </c>
      <c r="G87" s="11">
        <v>-160</v>
      </c>
      <c r="H87" s="11">
        <v>-172</v>
      </c>
      <c r="I87" s="11">
        <v>-137</v>
      </c>
      <c r="J87" s="11"/>
      <c r="K87" s="11">
        <v>-139</v>
      </c>
      <c r="L87" s="11">
        <v>-185</v>
      </c>
      <c r="M87" s="11">
        <v>-13.4</v>
      </c>
      <c r="N87" s="11"/>
      <c r="O87" s="11">
        <v>-57</v>
      </c>
      <c r="P87" s="11" t="str">
        <f t="shared" si="22"/>
        <v/>
      </c>
      <c r="Q87" s="11" t="str">
        <f t="shared" si="23"/>
        <v/>
      </c>
      <c r="R87" s="11" t="str">
        <f t="shared" si="24"/>
        <v/>
      </c>
      <c r="S87" s="11" t="str">
        <f t="shared" si="25"/>
        <v/>
      </c>
      <c r="T87" s="11">
        <f t="shared" si="26"/>
        <v>-127.305899047233</v>
      </c>
      <c r="U87" s="11">
        <f t="shared" si="27"/>
        <v>-173.93067099128322</v>
      </c>
      <c r="V87" s="11" t="str">
        <f t="shared" si="28"/>
        <v/>
      </c>
      <c r="W87" s="11">
        <f t="shared" si="29"/>
        <v>-86.95652173913038</v>
      </c>
      <c r="X87" s="11">
        <f t="shared" si="30"/>
        <v>-135.73700954400846</v>
      </c>
      <c r="Y87" s="11" t="str">
        <f t="shared" si="31"/>
        <v/>
      </c>
      <c r="Z87" s="11">
        <f t="shared" si="32"/>
        <v>-46</v>
      </c>
      <c r="AA87" s="7" t="s">
        <v>63</v>
      </c>
      <c r="AB87" s="12" t="s">
        <v>64</v>
      </c>
      <c r="AC87" s="12" t="s">
        <v>65</v>
      </c>
    </row>
    <row r="88" spans="1:29" ht="32">
      <c r="A88" s="7" t="s">
        <v>14</v>
      </c>
      <c r="B88" s="7" t="s">
        <v>245</v>
      </c>
      <c r="C88" s="7" t="s">
        <v>217</v>
      </c>
      <c r="D88" s="7" t="s">
        <v>246</v>
      </c>
      <c r="E88" s="7" t="s">
        <v>138</v>
      </c>
      <c r="F88" s="11">
        <v>-191</v>
      </c>
      <c r="G88" s="11">
        <v>-196</v>
      </c>
      <c r="H88" s="11">
        <v>-249</v>
      </c>
      <c r="I88" s="11">
        <v>-183</v>
      </c>
      <c r="J88" s="11">
        <v>-162</v>
      </c>
      <c r="K88" s="11">
        <v>-163</v>
      </c>
      <c r="L88" s="11"/>
      <c r="M88" s="11">
        <v>-8.3000000000000007</v>
      </c>
      <c r="N88" s="11"/>
      <c r="O88" s="11">
        <v>-57</v>
      </c>
      <c r="P88" s="11" t="str">
        <f t="shared" si="22"/>
        <v/>
      </c>
      <c r="Q88" s="11" t="str">
        <f t="shared" si="23"/>
        <v/>
      </c>
      <c r="R88" s="11" t="str">
        <f t="shared" si="24"/>
        <v/>
      </c>
      <c r="S88" s="11">
        <f t="shared" si="25"/>
        <v>-154.98638701220136</v>
      </c>
      <c r="T88" s="11">
        <f t="shared" si="26"/>
        <v>-155.99475647877392</v>
      </c>
      <c r="U88" s="11" t="str">
        <f t="shared" si="27"/>
        <v/>
      </c>
      <c r="V88" s="11">
        <f t="shared" si="28"/>
        <v>-111.34676564156942</v>
      </c>
      <c r="W88" s="11">
        <f t="shared" si="29"/>
        <v>-112.40721102863205</v>
      </c>
      <c r="X88" s="11" t="str">
        <f t="shared" si="30"/>
        <v/>
      </c>
      <c r="Y88" s="11">
        <f t="shared" si="31"/>
        <v>-1</v>
      </c>
      <c r="Z88" s="11" t="str">
        <f t="shared" si="32"/>
        <v/>
      </c>
      <c r="AA88" s="7" t="s">
        <v>63</v>
      </c>
      <c r="AB88" s="12" t="s">
        <v>64</v>
      </c>
      <c r="AC88" s="12" t="s">
        <v>65</v>
      </c>
    </row>
    <row r="89" spans="1:29" ht="32">
      <c r="A89" s="7" t="s">
        <v>14</v>
      </c>
      <c r="B89" s="7" t="s">
        <v>247</v>
      </c>
      <c r="C89" s="7" t="s">
        <v>248</v>
      </c>
      <c r="D89" s="7" t="s">
        <v>249</v>
      </c>
      <c r="E89" s="7" t="s">
        <v>250</v>
      </c>
      <c r="F89" s="11">
        <v>-196</v>
      </c>
      <c r="G89" s="11">
        <v>-198</v>
      </c>
      <c r="H89" s="11">
        <v>-189</v>
      </c>
      <c r="I89" s="11">
        <v>-189</v>
      </c>
      <c r="J89" s="11"/>
      <c r="K89" s="11"/>
      <c r="L89" s="11"/>
      <c r="M89" s="11">
        <v>-9.3000000000000007</v>
      </c>
      <c r="N89" s="11">
        <v>-31.3</v>
      </c>
      <c r="O89" s="11">
        <v>-57</v>
      </c>
      <c r="P89" s="11" t="str">
        <f t="shared" si="22"/>
        <v/>
      </c>
      <c r="Q89" s="11" t="str">
        <f t="shared" si="23"/>
        <v/>
      </c>
      <c r="R89" s="11" t="str">
        <f t="shared" si="24"/>
        <v/>
      </c>
      <c r="S89" s="11" t="str">
        <f t="shared" si="25"/>
        <v/>
      </c>
      <c r="T89" s="11" t="str">
        <f t="shared" si="26"/>
        <v/>
      </c>
      <c r="U89" s="11" t="str">
        <f t="shared" si="27"/>
        <v/>
      </c>
      <c r="V89" s="11" t="str">
        <f t="shared" si="28"/>
        <v/>
      </c>
      <c r="W89" s="11" t="str">
        <f t="shared" si="29"/>
        <v/>
      </c>
      <c r="X89" s="11" t="str">
        <f t="shared" si="30"/>
        <v/>
      </c>
      <c r="Y89" s="11" t="str">
        <f t="shared" si="31"/>
        <v/>
      </c>
      <c r="Z89" s="11" t="str">
        <f t="shared" si="32"/>
        <v/>
      </c>
      <c r="AA89" s="7" t="s">
        <v>63</v>
      </c>
      <c r="AB89" s="12" t="s">
        <v>64</v>
      </c>
      <c r="AC89" s="12" t="s">
        <v>65</v>
      </c>
    </row>
    <row r="90" spans="1:29" ht="32">
      <c r="A90" s="7" t="s">
        <v>14</v>
      </c>
      <c r="B90" s="7" t="s">
        <v>251</v>
      </c>
      <c r="C90" s="7" t="s">
        <v>252</v>
      </c>
      <c r="D90" s="7" t="s">
        <v>253</v>
      </c>
      <c r="E90" s="7" t="s">
        <v>250</v>
      </c>
      <c r="F90" s="11">
        <v>-177</v>
      </c>
      <c r="G90" s="11">
        <v>-150</v>
      </c>
      <c r="H90" s="11">
        <v>-181</v>
      </c>
      <c r="I90" s="11">
        <v>-179</v>
      </c>
      <c r="J90" s="11">
        <v>-167</v>
      </c>
      <c r="K90" s="11">
        <v>-169</v>
      </c>
      <c r="L90" s="11">
        <v>-164</v>
      </c>
      <c r="M90" s="11">
        <v>-13.5</v>
      </c>
      <c r="N90" s="11">
        <v>-37.200000000000003</v>
      </c>
      <c r="O90" s="11">
        <v>-57</v>
      </c>
      <c r="P90" s="11">
        <f t="shared" si="22"/>
        <v>-134.81512255920236</v>
      </c>
      <c r="Q90" s="11">
        <f t="shared" si="23"/>
        <v>-136.89239717490653</v>
      </c>
      <c r="R90" s="11">
        <f t="shared" si="24"/>
        <v>-131.69921063564604</v>
      </c>
      <c r="S90" s="11">
        <f t="shared" si="25"/>
        <v>-155.60060821084653</v>
      </c>
      <c r="T90" s="11">
        <f t="shared" si="26"/>
        <v>-157.62797769893567</v>
      </c>
      <c r="U90" s="11">
        <f t="shared" si="27"/>
        <v>-152.55955397871267</v>
      </c>
      <c r="V90" s="11">
        <f t="shared" si="28"/>
        <v>-116.64899257688232</v>
      </c>
      <c r="W90" s="11">
        <f t="shared" si="29"/>
        <v>-118.76988335100746</v>
      </c>
      <c r="X90" s="11">
        <f t="shared" si="30"/>
        <v>-113.46765641569456</v>
      </c>
      <c r="Y90" s="11">
        <f t="shared" si="31"/>
        <v>-2</v>
      </c>
      <c r="Z90" s="11">
        <f t="shared" si="32"/>
        <v>5</v>
      </c>
      <c r="AA90" s="7" t="s">
        <v>63</v>
      </c>
      <c r="AB90" s="12" t="s">
        <v>64</v>
      </c>
      <c r="AC90" s="12" t="s">
        <v>65</v>
      </c>
    </row>
    <row r="91" spans="1:29" ht="32">
      <c r="A91" s="7" t="s">
        <v>14</v>
      </c>
      <c r="B91" s="7" t="s">
        <v>254</v>
      </c>
      <c r="C91" s="7" t="s">
        <v>248</v>
      </c>
      <c r="D91" s="7" t="s">
        <v>255</v>
      </c>
      <c r="E91" s="7" t="s">
        <v>250</v>
      </c>
      <c r="F91" s="11">
        <v>-209</v>
      </c>
      <c r="G91" s="11">
        <v>-201</v>
      </c>
      <c r="H91" s="11">
        <v>-205</v>
      </c>
      <c r="I91" s="11">
        <v>-213</v>
      </c>
      <c r="J91" s="11">
        <v>-192</v>
      </c>
      <c r="K91" s="11">
        <v>-227</v>
      </c>
      <c r="L91" s="11">
        <v>-232</v>
      </c>
      <c r="M91" s="11">
        <v>-11.5</v>
      </c>
      <c r="N91" s="11">
        <v>-37.200000000000003</v>
      </c>
      <c r="O91" s="11">
        <v>-57</v>
      </c>
      <c r="P91" s="11">
        <f t="shared" si="22"/>
        <v>-160.78105525550467</v>
      </c>
      <c r="Q91" s="11">
        <f t="shared" si="23"/>
        <v>-197.13336103032819</v>
      </c>
      <c r="R91" s="11">
        <f t="shared" si="24"/>
        <v>-202.32654756958868</v>
      </c>
      <c r="S91" s="11">
        <f t="shared" si="25"/>
        <v>-182.59989883662109</v>
      </c>
      <c r="T91" s="11">
        <f t="shared" si="26"/>
        <v>-218.00708143652002</v>
      </c>
      <c r="U91" s="11">
        <f t="shared" si="27"/>
        <v>-223.06525037936265</v>
      </c>
      <c r="V91" s="11">
        <f t="shared" si="28"/>
        <v>-143.1601272534464</v>
      </c>
      <c r="W91" s="11">
        <f t="shared" si="29"/>
        <v>-180.27571580063616</v>
      </c>
      <c r="X91" s="11">
        <f t="shared" si="30"/>
        <v>-185.57794273594908</v>
      </c>
      <c r="Y91" s="11">
        <f t="shared" si="31"/>
        <v>-35</v>
      </c>
      <c r="Z91" s="11">
        <f t="shared" si="32"/>
        <v>-5</v>
      </c>
      <c r="AA91" s="7" t="s">
        <v>63</v>
      </c>
      <c r="AB91" s="12" t="s">
        <v>64</v>
      </c>
      <c r="AC91" s="12" t="s">
        <v>65</v>
      </c>
    </row>
    <row r="92" spans="1:29" ht="32">
      <c r="A92" s="7" t="s">
        <v>14</v>
      </c>
      <c r="B92" s="7" t="s">
        <v>256</v>
      </c>
      <c r="C92" s="7" t="s">
        <v>252</v>
      </c>
      <c r="D92" s="7" t="s">
        <v>257</v>
      </c>
      <c r="E92" s="7" t="s">
        <v>250</v>
      </c>
      <c r="F92" s="11">
        <v>-196</v>
      </c>
      <c r="G92" s="11">
        <v>-193</v>
      </c>
      <c r="H92" s="11">
        <v>-210</v>
      </c>
      <c r="I92" s="11">
        <v>-191</v>
      </c>
      <c r="J92" s="11">
        <v>-146</v>
      </c>
      <c r="K92" s="11">
        <v>-178</v>
      </c>
      <c r="L92" s="11">
        <v>-195</v>
      </c>
      <c r="M92" s="11">
        <v>-27.2</v>
      </c>
      <c r="N92" s="11">
        <v>-29.8</v>
      </c>
      <c r="O92" s="11">
        <v>-57</v>
      </c>
      <c r="P92" s="11">
        <f t="shared" si="22"/>
        <v>-119.76911976911975</v>
      </c>
      <c r="Q92" s="11">
        <f t="shared" si="23"/>
        <v>-152.75200989486692</v>
      </c>
      <c r="R92" s="11">
        <f t="shared" si="24"/>
        <v>-170.27417027417025</v>
      </c>
      <c r="S92" s="11">
        <f t="shared" si="25"/>
        <v>-122.12171052631582</v>
      </c>
      <c r="T92" s="11">
        <f t="shared" si="26"/>
        <v>-155.01644736842101</v>
      </c>
      <c r="U92" s="11">
        <f t="shared" si="27"/>
        <v>-172.49177631578948</v>
      </c>
      <c r="V92" s="11">
        <f t="shared" si="28"/>
        <v>-94.379639448568426</v>
      </c>
      <c r="W92" s="11">
        <f t="shared" si="29"/>
        <v>-128.31389183457043</v>
      </c>
      <c r="X92" s="11">
        <f t="shared" si="30"/>
        <v>-146.34146341463418</v>
      </c>
      <c r="Y92" s="11">
        <f t="shared" si="31"/>
        <v>-32</v>
      </c>
      <c r="Z92" s="11">
        <f t="shared" si="32"/>
        <v>-17</v>
      </c>
      <c r="AA92" s="7" t="s">
        <v>63</v>
      </c>
      <c r="AB92" s="12" t="s">
        <v>64</v>
      </c>
      <c r="AC92" s="12" t="s">
        <v>65</v>
      </c>
    </row>
    <row r="93" spans="1:29" ht="32">
      <c r="A93" s="7" t="s">
        <v>14</v>
      </c>
      <c r="B93" s="7" t="s">
        <v>258</v>
      </c>
      <c r="C93" s="7" t="s">
        <v>252</v>
      </c>
      <c r="D93" s="7" t="s">
        <v>259</v>
      </c>
      <c r="E93" s="7" t="s">
        <v>250</v>
      </c>
      <c r="F93" s="11">
        <v>-208</v>
      </c>
      <c r="G93" s="11">
        <v>-195</v>
      </c>
      <c r="H93" s="11">
        <v>-191</v>
      </c>
      <c r="I93" s="11">
        <v>-182</v>
      </c>
      <c r="J93" s="11">
        <v>-152</v>
      </c>
      <c r="K93" s="11">
        <v>-186</v>
      </c>
      <c r="L93" s="11">
        <v>-185</v>
      </c>
      <c r="M93" s="11">
        <v>-14.8</v>
      </c>
      <c r="N93" s="11">
        <v>-43.8</v>
      </c>
      <c r="O93" s="11">
        <v>-57</v>
      </c>
      <c r="P93" s="11">
        <f t="shared" si="22"/>
        <v>-113.15624346371055</v>
      </c>
      <c r="Q93" s="11">
        <f t="shared" si="23"/>
        <v>-148.71365823049564</v>
      </c>
      <c r="R93" s="11">
        <f t="shared" si="24"/>
        <v>-147.6678519138257</v>
      </c>
      <c r="S93" s="11">
        <f t="shared" si="25"/>
        <v>-139.2610637434023</v>
      </c>
      <c r="T93" s="11">
        <f t="shared" si="26"/>
        <v>-173.77182298010553</v>
      </c>
      <c r="U93" s="11">
        <f t="shared" si="27"/>
        <v>-172.75680064961429</v>
      </c>
      <c r="V93" s="11">
        <f t="shared" si="28"/>
        <v>-100.74231177094373</v>
      </c>
      <c r="W93" s="11">
        <f t="shared" si="29"/>
        <v>-136.79745493107097</v>
      </c>
      <c r="X93" s="11">
        <f t="shared" si="30"/>
        <v>-135.73700954400846</v>
      </c>
      <c r="Y93" s="11">
        <f t="shared" si="31"/>
        <v>-34</v>
      </c>
      <c r="Z93" s="11">
        <f t="shared" si="32"/>
        <v>1</v>
      </c>
      <c r="AA93" s="7" t="s">
        <v>63</v>
      </c>
      <c r="AB93" s="12" t="s">
        <v>64</v>
      </c>
      <c r="AC93" s="12" t="s">
        <v>65</v>
      </c>
    </row>
    <row r="94" spans="1:29" ht="32">
      <c r="A94" s="7" t="s">
        <v>14</v>
      </c>
      <c r="B94" s="7" t="s">
        <v>260</v>
      </c>
      <c r="C94" s="7" t="s">
        <v>252</v>
      </c>
      <c r="D94" s="7" t="s">
        <v>261</v>
      </c>
      <c r="E94" s="7" t="s">
        <v>250</v>
      </c>
      <c r="F94" s="11">
        <v>-180</v>
      </c>
      <c r="G94" s="11">
        <v>-182</v>
      </c>
      <c r="H94" s="11">
        <v>-178</v>
      </c>
      <c r="I94" s="11">
        <v>-166</v>
      </c>
      <c r="J94" s="11">
        <v>-175</v>
      </c>
      <c r="K94" s="11">
        <v>-165</v>
      </c>
      <c r="L94" s="11">
        <v>-161</v>
      </c>
      <c r="M94" s="11">
        <v>-23.4</v>
      </c>
      <c r="N94" s="11">
        <v>-53.1</v>
      </c>
      <c r="O94" s="11">
        <v>-57</v>
      </c>
      <c r="P94" s="11">
        <f t="shared" si="22"/>
        <v>-128.73587496039707</v>
      </c>
      <c r="Q94" s="11">
        <f t="shared" si="23"/>
        <v>-118.1750976871898</v>
      </c>
      <c r="R94" s="11">
        <f t="shared" si="24"/>
        <v>-113.95078677790681</v>
      </c>
      <c r="S94" s="11">
        <f t="shared" si="25"/>
        <v>-155.2324390743396</v>
      </c>
      <c r="T94" s="11">
        <f t="shared" si="26"/>
        <v>-144.99283227524074</v>
      </c>
      <c r="U94" s="11">
        <f t="shared" si="27"/>
        <v>-140.89698955560115</v>
      </c>
      <c r="V94" s="11">
        <f t="shared" si="28"/>
        <v>-125.13255567338277</v>
      </c>
      <c r="W94" s="11">
        <f t="shared" si="29"/>
        <v>-114.52810180275719</v>
      </c>
      <c r="X94" s="11">
        <f t="shared" si="30"/>
        <v>-110.2863202545069</v>
      </c>
      <c r="Y94" s="11">
        <f t="shared" si="31"/>
        <v>10</v>
      </c>
      <c r="Z94" s="11">
        <f t="shared" si="32"/>
        <v>4</v>
      </c>
      <c r="AA94" s="7" t="s">
        <v>63</v>
      </c>
      <c r="AB94" s="12" t="s">
        <v>64</v>
      </c>
      <c r="AC94" s="12" t="s">
        <v>65</v>
      </c>
    </row>
    <row r="95" spans="1:29" ht="32">
      <c r="A95" s="7" t="s">
        <v>14</v>
      </c>
      <c r="B95" s="7" t="s">
        <v>262</v>
      </c>
      <c r="C95" s="7" t="s">
        <v>248</v>
      </c>
      <c r="D95" s="7" t="s">
        <v>263</v>
      </c>
      <c r="E95" s="7" t="s">
        <v>250</v>
      </c>
      <c r="F95" s="11">
        <v>-198</v>
      </c>
      <c r="G95" s="11">
        <v>-204</v>
      </c>
      <c r="H95" s="11">
        <v>-202</v>
      </c>
      <c r="I95" s="11">
        <v>-205</v>
      </c>
      <c r="J95" s="11">
        <v>-149</v>
      </c>
      <c r="K95" s="11">
        <v>-170</v>
      </c>
      <c r="L95" s="11">
        <v>-182</v>
      </c>
      <c r="M95" s="11">
        <v>-15.9</v>
      </c>
      <c r="N95" s="11">
        <v>-27.7</v>
      </c>
      <c r="O95" s="11">
        <v>-57</v>
      </c>
      <c r="P95" s="11">
        <f t="shared" si="22"/>
        <v>-124.75573382700821</v>
      </c>
      <c r="Q95" s="11">
        <f t="shared" si="23"/>
        <v>-146.35400596523718</v>
      </c>
      <c r="R95" s="11">
        <f t="shared" si="24"/>
        <v>-158.69587575851074</v>
      </c>
      <c r="S95" s="11">
        <f t="shared" si="25"/>
        <v>-135.25048267452499</v>
      </c>
      <c r="T95" s="11">
        <f t="shared" si="26"/>
        <v>-156.58977746164004</v>
      </c>
      <c r="U95" s="11">
        <f t="shared" si="27"/>
        <v>-168.78366019713431</v>
      </c>
      <c r="V95" s="11">
        <f t="shared" si="28"/>
        <v>-97.560975609756071</v>
      </c>
      <c r="W95" s="11">
        <f t="shared" si="29"/>
        <v>-119.83032873806998</v>
      </c>
      <c r="X95" s="11">
        <f t="shared" si="30"/>
        <v>-132.55567338282071</v>
      </c>
      <c r="Y95" s="11">
        <f t="shared" si="31"/>
        <v>-21</v>
      </c>
      <c r="Z95" s="11">
        <f t="shared" si="32"/>
        <v>-12</v>
      </c>
      <c r="AA95" s="7" t="s">
        <v>63</v>
      </c>
      <c r="AB95" s="12" t="s">
        <v>64</v>
      </c>
      <c r="AC95" s="12" t="s">
        <v>65</v>
      </c>
    </row>
    <row r="96" spans="1:29" ht="32">
      <c r="A96" s="7" t="s">
        <v>14</v>
      </c>
      <c r="B96" s="7" t="s">
        <v>264</v>
      </c>
      <c r="C96" s="7" t="s">
        <v>248</v>
      </c>
      <c r="D96" s="7" t="s">
        <v>265</v>
      </c>
      <c r="E96" s="7" t="s">
        <v>138</v>
      </c>
      <c r="F96" s="11">
        <v>-223</v>
      </c>
      <c r="G96" s="11">
        <v>-221</v>
      </c>
      <c r="H96" s="11">
        <v>-217</v>
      </c>
      <c r="I96" s="11">
        <v>-207</v>
      </c>
      <c r="J96" s="11">
        <v>-199</v>
      </c>
      <c r="K96" s="11">
        <v>-207</v>
      </c>
      <c r="L96" s="11">
        <v>-192</v>
      </c>
      <c r="M96" s="11">
        <v>-24.9</v>
      </c>
      <c r="N96" s="11">
        <v>-33.200000000000003</v>
      </c>
      <c r="O96" s="11">
        <v>-57</v>
      </c>
      <c r="P96" s="11">
        <f t="shared" si="22"/>
        <v>-171.4935870914357</v>
      </c>
      <c r="Q96" s="11">
        <f t="shared" si="23"/>
        <v>-179.76830781961107</v>
      </c>
      <c r="R96" s="11">
        <f t="shared" si="24"/>
        <v>-164.25320645428209</v>
      </c>
      <c r="S96" s="11">
        <f t="shared" si="25"/>
        <v>-178.54579017536665</v>
      </c>
      <c r="T96" s="11">
        <f t="shared" si="26"/>
        <v>-186.75007691518809</v>
      </c>
      <c r="U96" s="11">
        <f t="shared" si="27"/>
        <v>-171.36703927802267</v>
      </c>
      <c r="V96" s="11">
        <f t="shared" si="28"/>
        <v>-150.58324496288444</v>
      </c>
      <c r="W96" s="11">
        <f t="shared" si="29"/>
        <v>-159.0668080593849</v>
      </c>
      <c r="X96" s="11">
        <f t="shared" si="30"/>
        <v>-143.1601272534464</v>
      </c>
      <c r="Y96" s="11">
        <f t="shared" si="31"/>
        <v>-8</v>
      </c>
      <c r="Z96" s="11">
        <f t="shared" si="32"/>
        <v>15</v>
      </c>
      <c r="AA96" s="7" t="s">
        <v>63</v>
      </c>
      <c r="AB96" s="12" t="s">
        <v>64</v>
      </c>
      <c r="AC96" s="12" t="s">
        <v>65</v>
      </c>
    </row>
    <row r="97" spans="1:29" ht="32">
      <c r="A97" s="7" t="s">
        <v>14</v>
      </c>
      <c r="B97" s="7" t="s">
        <v>266</v>
      </c>
      <c r="C97" s="7" t="s">
        <v>248</v>
      </c>
      <c r="D97" s="7" t="s">
        <v>267</v>
      </c>
      <c r="E97" s="7" t="s">
        <v>138</v>
      </c>
      <c r="F97" s="11">
        <v>-187</v>
      </c>
      <c r="G97" s="11">
        <v>-205</v>
      </c>
      <c r="H97" s="11">
        <v>-201</v>
      </c>
      <c r="I97" s="11">
        <v>-189</v>
      </c>
      <c r="J97" s="11">
        <v>-210</v>
      </c>
      <c r="K97" s="11">
        <v>-211</v>
      </c>
      <c r="L97" s="11">
        <v>-189</v>
      </c>
      <c r="M97" s="11">
        <v>-19.399999999999999</v>
      </c>
      <c r="N97" s="11">
        <v>-47.5</v>
      </c>
      <c r="O97" s="11">
        <v>-57</v>
      </c>
      <c r="P97" s="11">
        <f t="shared" si="22"/>
        <v>-170.60367454068236</v>
      </c>
      <c r="Q97" s="11">
        <f t="shared" si="23"/>
        <v>-171.65354330708661</v>
      </c>
      <c r="R97" s="11">
        <f t="shared" si="24"/>
        <v>-148.55643044619427</v>
      </c>
      <c r="S97" s="11">
        <f t="shared" si="25"/>
        <v>-194.37079339180096</v>
      </c>
      <c r="T97" s="11">
        <f t="shared" si="26"/>
        <v>-195.39057719763409</v>
      </c>
      <c r="U97" s="11">
        <f t="shared" si="27"/>
        <v>-172.95533346930458</v>
      </c>
      <c r="V97" s="11">
        <f t="shared" si="28"/>
        <v>-162.24814422057256</v>
      </c>
      <c r="W97" s="11">
        <f t="shared" si="29"/>
        <v>-163.30858960763516</v>
      </c>
      <c r="X97" s="11">
        <f t="shared" si="30"/>
        <v>-139.97879109225875</v>
      </c>
      <c r="Y97" s="11">
        <f t="shared" si="31"/>
        <v>-1</v>
      </c>
      <c r="Z97" s="11">
        <f t="shared" si="32"/>
        <v>22</v>
      </c>
      <c r="AA97" s="7" t="s">
        <v>63</v>
      </c>
      <c r="AB97" s="12" t="s">
        <v>64</v>
      </c>
      <c r="AC97" s="12" t="s">
        <v>65</v>
      </c>
    </row>
    <row r="98" spans="1:29" ht="32">
      <c r="A98" s="7" t="s">
        <v>14</v>
      </c>
      <c r="B98" s="7" t="s">
        <v>268</v>
      </c>
      <c r="C98" s="7" t="s">
        <v>248</v>
      </c>
      <c r="D98" s="7" t="s">
        <v>269</v>
      </c>
      <c r="E98" s="7" t="s">
        <v>138</v>
      </c>
      <c r="F98" s="11">
        <v>-184</v>
      </c>
      <c r="G98" s="11">
        <v>-197</v>
      </c>
      <c r="H98" s="11">
        <v>-226</v>
      </c>
      <c r="I98" s="11">
        <v>-224</v>
      </c>
      <c r="J98" s="11">
        <v>-208</v>
      </c>
      <c r="K98" s="11">
        <v>-204</v>
      </c>
      <c r="L98" s="11"/>
      <c r="M98" s="11">
        <v>-13.7</v>
      </c>
      <c r="N98" s="11">
        <v>-52.5</v>
      </c>
      <c r="O98" s="11">
        <v>-57</v>
      </c>
      <c r="P98" s="11">
        <f t="shared" ref="P98:P103" si="33">IF(OR(J98="",N98=""),"",1000*((1+J98/1000)/(1+N98/1000)-1))</f>
        <v>-164.11609498680735</v>
      </c>
      <c r="Q98" s="11">
        <f t="shared" ref="Q98:Q103" si="34">IF(OR(K98="",N98=""),"",1000*((1+K98/1000)/(1+N98/1000)-1))</f>
        <v>-159.89445910290235</v>
      </c>
      <c r="R98" s="11" t="str">
        <f t="shared" ref="R98:R103" si="35">IF(OR(L98="",N98=""),"",1000*((1+L98/1000)/(1+N98/1000)-1))</f>
        <v/>
      </c>
      <c r="S98" s="11">
        <f t="shared" ref="S98:S103" si="36">IF(OR(J98="",M98=""),"",1000*((1+J98/1000)/(1+M98/1000)-1))</f>
        <v>-196.99888472067317</v>
      </c>
      <c r="T98" s="11">
        <f t="shared" ref="T98:T103" si="37">IF(OR(K98="",M98=""),"",1000*((1+K98/1000)/(1+M98/1000)-1))</f>
        <v>-192.94332353239375</v>
      </c>
      <c r="U98" s="11" t="str">
        <f t="shared" ref="U98:U103" si="38">IF(OR(L98="",M98=""),"",1000*((1+L98/1000)/(1+M98/1000)-1))</f>
        <v/>
      </c>
      <c r="V98" s="11">
        <f t="shared" ref="V98:V103" si="39">IF(J98="","",1000*((1+J98/1000)/(1+O98/1000)-1))</f>
        <v>-160.12725344644741</v>
      </c>
      <c r="W98" s="11">
        <f t="shared" ref="W98:W103" si="40">IF(K98="","",1000*((1+K98/1000)/(1+O98/1000)-1))</f>
        <v>-155.88547189819712</v>
      </c>
      <c r="X98" s="11" t="str">
        <f t="shared" ref="X98:X103" si="41">IF(L98="","",1000*((1+L98/1000)/(1+O98/1000)-1))</f>
        <v/>
      </c>
      <c r="Y98" s="11">
        <f t="shared" ref="Y98:Y103" si="42">IF(OR(J98="",K98=""),"",K98-J98)</f>
        <v>4</v>
      </c>
      <c r="Z98" s="11" t="str">
        <f t="shared" ref="Z98:Z103" si="43">IF(OR(K98="",L98=""),"",L98-K98)</f>
        <v/>
      </c>
      <c r="AA98" s="7" t="s">
        <v>63</v>
      </c>
      <c r="AB98" s="12" t="s">
        <v>64</v>
      </c>
      <c r="AC98" s="12" t="s">
        <v>65</v>
      </c>
    </row>
    <row r="99" spans="1:29" ht="32">
      <c r="A99" s="7" t="s">
        <v>14</v>
      </c>
      <c r="B99" s="7" t="s">
        <v>270</v>
      </c>
      <c r="C99" s="7" t="s">
        <v>248</v>
      </c>
      <c r="D99" s="7" t="s">
        <v>271</v>
      </c>
      <c r="E99" s="7" t="s">
        <v>138</v>
      </c>
      <c r="F99" s="11">
        <v>-209</v>
      </c>
      <c r="G99" s="11">
        <v>-233</v>
      </c>
      <c r="H99" s="11">
        <v>-223</v>
      </c>
      <c r="I99" s="11"/>
      <c r="J99" s="11">
        <v>-190</v>
      </c>
      <c r="K99" s="11">
        <v>-208</v>
      </c>
      <c r="L99" s="11">
        <v>-207</v>
      </c>
      <c r="M99" s="11">
        <v>-21.4</v>
      </c>
      <c r="N99" s="11">
        <v>-48.9</v>
      </c>
      <c r="O99" s="11">
        <v>-57</v>
      </c>
      <c r="P99" s="11">
        <f t="shared" si="33"/>
        <v>-148.35453685206602</v>
      </c>
      <c r="Q99" s="11">
        <f t="shared" si="34"/>
        <v>-167.27999158868678</v>
      </c>
      <c r="R99" s="11">
        <f t="shared" si="35"/>
        <v>-166.2285774366523</v>
      </c>
      <c r="S99" s="11">
        <f t="shared" si="36"/>
        <v>-172.28694052728389</v>
      </c>
      <c r="T99" s="11">
        <f t="shared" si="37"/>
        <v>-190.68056407112201</v>
      </c>
      <c r="U99" s="11">
        <f t="shared" si="38"/>
        <v>-189.65869609646435</v>
      </c>
      <c r="V99" s="11">
        <f t="shared" si="39"/>
        <v>-141.03923647932126</v>
      </c>
      <c r="W99" s="11">
        <f t="shared" si="40"/>
        <v>-160.12725344644741</v>
      </c>
      <c r="X99" s="11">
        <f t="shared" si="41"/>
        <v>-159.0668080593849</v>
      </c>
      <c r="Y99" s="11">
        <f t="shared" si="42"/>
        <v>-18</v>
      </c>
      <c r="Z99" s="11">
        <f t="shared" si="43"/>
        <v>1</v>
      </c>
      <c r="AA99" s="7" t="s">
        <v>63</v>
      </c>
      <c r="AB99" s="12" t="s">
        <v>64</v>
      </c>
      <c r="AC99" s="12" t="s">
        <v>65</v>
      </c>
    </row>
    <row r="100" spans="1:29" ht="32">
      <c r="A100" s="7" t="s">
        <v>14</v>
      </c>
      <c r="B100" s="7" t="s">
        <v>272</v>
      </c>
      <c r="C100" s="7" t="s">
        <v>252</v>
      </c>
      <c r="D100" s="7" t="s">
        <v>273</v>
      </c>
      <c r="E100" s="7" t="s">
        <v>62</v>
      </c>
      <c r="F100" s="11">
        <v>-194</v>
      </c>
      <c r="G100" s="11">
        <v>-198</v>
      </c>
      <c r="H100" s="11">
        <v>-203</v>
      </c>
      <c r="I100" s="11">
        <v>-206</v>
      </c>
      <c r="J100" s="11">
        <v>-176</v>
      </c>
      <c r="K100" s="11">
        <v>-188</v>
      </c>
      <c r="L100" s="11">
        <v>-149</v>
      </c>
      <c r="M100" s="11">
        <v>-24.5</v>
      </c>
      <c r="N100" s="11">
        <v>-48.9</v>
      </c>
      <c r="O100" s="11">
        <v>-57</v>
      </c>
      <c r="P100" s="11">
        <f t="shared" si="33"/>
        <v>-133.63473872358321</v>
      </c>
      <c r="Q100" s="11">
        <f t="shared" si="34"/>
        <v>-146.25170854799708</v>
      </c>
      <c r="R100" s="11">
        <f t="shared" si="35"/>
        <v>-105.24655661865212</v>
      </c>
      <c r="S100" s="11">
        <f t="shared" si="36"/>
        <v>-155.30497180932855</v>
      </c>
      <c r="T100" s="11">
        <f t="shared" si="37"/>
        <v>-167.60635571501791</v>
      </c>
      <c r="U100" s="11">
        <f t="shared" si="38"/>
        <v>-127.62685802152751</v>
      </c>
      <c r="V100" s="11">
        <f t="shared" si="39"/>
        <v>-126.19300106044528</v>
      </c>
      <c r="W100" s="11">
        <f t="shared" si="40"/>
        <v>-138.91834570519612</v>
      </c>
      <c r="X100" s="11">
        <f t="shared" si="41"/>
        <v>-97.560975609756071</v>
      </c>
      <c r="Y100" s="11">
        <f t="shared" si="42"/>
        <v>-12</v>
      </c>
      <c r="Z100" s="11">
        <f t="shared" si="43"/>
        <v>39</v>
      </c>
      <c r="AA100" s="7" t="s">
        <v>63</v>
      </c>
      <c r="AB100" s="12" t="s">
        <v>64</v>
      </c>
      <c r="AC100" s="12" t="s">
        <v>65</v>
      </c>
    </row>
    <row r="101" spans="1:29" ht="32">
      <c r="A101" s="7" t="s">
        <v>14</v>
      </c>
      <c r="B101" s="7" t="s">
        <v>274</v>
      </c>
      <c r="C101" s="7" t="s">
        <v>248</v>
      </c>
      <c r="D101" s="7" t="s">
        <v>275</v>
      </c>
      <c r="E101" s="7" t="s">
        <v>250</v>
      </c>
      <c r="F101" s="11">
        <v>-227</v>
      </c>
      <c r="G101" s="11">
        <v>-220</v>
      </c>
      <c r="H101" s="11">
        <v>-223</v>
      </c>
      <c r="I101" s="11">
        <v>-221</v>
      </c>
      <c r="J101" s="11"/>
      <c r="K101" s="11">
        <v>-201</v>
      </c>
      <c r="L101" s="11">
        <v>-212</v>
      </c>
      <c r="M101" s="11">
        <v>-17.3</v>
      </c>
      <c r="N101" s="11">
        <v>-43.3</v>
      </c>
      <c r="O101" s="11">
        <v>-57</v>
      </c>
      <c r="P101" s="11" t="str">
        <f t="shared" si="33"/>
        <v/>
      </c>
      <c r="Q101" s="11">
        <f t="shared" si="34"/>
        <v>-164.83746210933424</v>
      </c>
      <c r="R101" s="11">
        <f t="shared" si="35"/>
        <v>-176.33531932685264</v>
      </c>
      <c r="S101" s="11" t="str">
        <f t="shared" si="36"/>
        <v/>
      </c>
      <c r="T101" s="11">
        <f t="shared" si="37"/>
        <v>-186.93395746412955</v>
      </c>
      <c r="U101" s="11">
        <f t="shared" si="38"/>
        <v>-198.12760761168212</v>
      </c>
      <c r="V101" s="11" t="str">
        <f t="shared" si="39"/>
        <v/>
      </c>
      <c r="W101" s="11">
        <f t="shared" si="40"/>
        <v>-152.70413573700958</v>
      </c>
      <c r="X101" s="11">
        <f t="shared" si="41"/>
        <v>-164.36903499469767</v>
      </c>
      <c r="Y101" s="11" t="str">
        <f t="shared" si="42"/>
        <v/>
      </c>
      <c r="Z101" s="11">
        <f t="shared" si="43"/>
        <v>-11</v>
      </c>
      <c r="AA101" s="7" t="s">
        <v>63</v>
      </c>
      <c r="AB101" s="12" t="s">
        <v>64</v>
      </c>
      <c r="AC101" s="12" t="s">
        <v>65</v>
      </c>
    </row>
    <row r="102" spans="1:29" ht="32">
      <c r="A102" s="7" t="s">
        <v>14</v>
      </c>
      <c r="B102" s="7" t="s">
        <v>276</v>
      </c>
      <c r="C102" s="7" t="s">
        <v>248</v>
      </c>
      <c r="D102" s="7" t="s">
        <v>277</v>
      </c>
      <c r="E102" s="7" t="s">
        <v>138</v>
      </c>
      <c r="F102" s="11">
        <v>-182</v>
      </c>
      <c r="G102" s="11">
        <v>-209</v>
      </c>
      <c r="H102" s="11">
        <v>-212</v>
      </c>
      <c r="I102" s="11">
        <v>-206</v>
      </c>
      <c r="J102" s="11">
        <v>-163</v>
      </c>
      <c r="K102" s="11">
        <v>-185</v>
      </c>
      <c r="L102" s="11">
        <v>-178</v>
      </c>
      <c r="M102" s="11">
        <v>-14.4</v>
      </c>
      <c r="N102" s="11">
        <v>-32.700000000000003</v>
      </c>
      <c r="O102" s="11">
        <v>-57</v>
      </c>
      <c r="P102" s="11">
        <f t="shared" si="33"/>
        <v>-134.70484854750342</v>
      </c>
      <c r="Q102" s="11">
        <f t="shared" si="34"/>
        <v>-157.44856817946874</v>
      </c>
      <c r="R102" s="11">
        <f t="shared" si="35"/>
        <v>-150.21193011475242</v>
      </c>
      <c r="S102" s="11">
        <f t="shared" si="36"/>
        <v>-150.77110389610394</v>
      </c>
      <c r="T102" s="11">
        <f t="shared" si="37"/>
        <v>-173.09253246753252</v>
      </c>
      <c r="U102" s="11">
        <f t="shared" si="38"/>
        <v>-165.99025974025972</v>
      </c>
      <c r="V102" s="11">
        <f t="shared" si="39"/>
        <v>-112.40721102863205</v>
      </c>
      <c r="W102" s="11">
        <f t="shared" si="40"/>
        <v>-135.73700954400846</v>
      </c>
      <c r="X102" s="11">
        <f t="shared" si="41"/>
        <v>-128.31389183457043</v>
      </c>
      <c r="Y102" s="11">
        <f t="shared" si="42"/>
        <v>-22</v>
      </c>
      <c r="Z102" s="11">
        <f t="shared" si="43"/>
        <v>7</v>
      </c>
      <c r="AA102" s="7" t="s">
        <v>63</v>
      </c>
      <c r="AB102" s="12" t="s">
        <v>64</v>
      </c>
      <c r="AC102" s="12" t="s">
        <v>65</v>
      </c>
    </row>
    <row r="103" spans="1:29" ht="32">
      <c r="A103" s="7" t="s">
        <v>14</v>
      </c>
      <c r="B103" s="7" t="s">
        <v>278</v>
      </c>
      <c r="C103" s="7" t="s">
        <v>252</v>
      </c>
      <c r="D103" s="7" t="s">
        <v>279</v>
      </c>
      <c r="E103" s="7" t="s">
        <v>250</v>
      </c>
      <c r="F103" s="11">
        <v>-178</v>
      </c>
      <c r="G103" s="11">
        <v>-167</v>
      </c>
      <c r="H103" s="11">
        <v>-179</v>
      </c>
      <c r="I103" s="11">
        <v>-185</v>
      </c>
      <c r="J103" s="11">
        <v>-176</v>
      </c>
      <c r="K103" s="11">
        <v>-184</v>
      </c>
      <c r="L103" s="11">
        <v>-198</v>
      </c>
      <c r="M103" s="11">
        <v>-19</v>
      </c>
      <c r="N103" s="11">
        <v>-24.4</v>
      </c>
      <c r="O103" s="11">
        <v>-57</v>
      </c>
      <c r="P103" s="11">
        <f t="shared" si="33"/>
        <v>-155.39155391553916</v>
      </c>
      <c r="Q103" s="11">
        <f t="shared" si="34"/>
        <v>-163.59163591635917</v>
      </c>
      <c r="R103" s="11">
        <f t="shared" si="35"/>
        <v>-177.94177941779409</v>
      </c>
      <c r="S103" s="11">
        <f t="shared" si="36"/>
        <v>-160.04077471967372</v>
      </c>
      <c r="T103" s="11">
        <f t="shared" si="37"/>
        <v>-168.19571865443416</v>
      </c>
      <c r="U103" s="11">
        <f t="shared" si="38"/>
        <v>-182.46687054026501</v>
      </c>
      <c r="V103" s="11">
        <f t="shared" si="39"/>
        <v>-126.19300106044528</v>
      </c>
      <c r="W103" s="11">
        <f t="shared" si="40"/>
        <v>-134.67656415694586</v>
      </c>
      <c r="X103" s="11">
        <f t="shared" si="41"/>
        <v>-149.52279957582169</v>
      </c>
      <c r="Y103" s="11">
        <f t="shared" si="42"/>
        <v>-8</v>
      </c>
      <c r="Z103" s="11">
        <f t="shared" si="43"/>
        <v>-14</v>
      </c>
      <c r="AA103" s="7" t="s">
        <v>63</v>
      </c>
      <c r="AB103" s="12" t="s">
        <v>64</v>
      </c>
      <c r="AC103" s="12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opLeftCell="G1" workbookViewId="0">
      <selection activeCell="K11" sqref="K11"/>
    </sheetView>
  </sheetViews>
  <sheetFormatPr baseColWidth="10" defaultColWidth="8.83203125" defaultRowHeight="15"/>
  <cols>
    <col min="1" max="1" width="12" customWidth="1"/>
    <col min="2" max="2" width="24" customWidth="1"/>
    <col min="3" max="3" width="18" customWidth="1"/>
    <col min="4" max="4" width="13" customWidth="1"/>
    <col min="5" max="5" width="17" customWidth="1"/>
    <col min="6" max="6" width="19" customWidth="1"/>
    <col min="7" max="7" width="15" customWidth="1"/>
    <col min="8" max="8" width="13" customWidth="1"/>
    <col min="9" max="9" width="17" customWidth="1"/>
    <col min="10" max="10" width="15" customWidth="1"/>
    <col min="11" max="11" width="17" customWidth="1"/>
    <col min="12" max="12" width="15" customWidth="1"/>
    <col min="13" max="13" width="8" customWidth="1"/>
    <col min="14" max="17" width="18" customWidth="1"/>
    <col min="18" max="18" width="22" customWidth="1"/>
    <col min="19" max="19" width="36" customWidth="1"/>
  </cols>
  <sheetData>
    <row r="1" spans="1:19" ht="32">
      <c r="A1" s="10" t="s">
        <v>30</v>
      </c>
      <c r="B1" s="10" t="s">
        <v>280</v>
      </c>
      <c r="C1" s="10" t="s">
        <v>281</v>
      </c>
      <c r="D1" s="10" t="s">
        <v>282</v>
      </c>
      <c r="E1" s="10" t="s">
        <v>283</v>
      </c>
      <c r="F1" s="10" t="s">
        <v>284</v>
      </c>
      <c r="G1" s="10" t="s">
        <v>285</v>
      </c>
      <c r="H1" s="10" t="s">
        <v>286</v>
      </c>
      <c r="I1" s="10" t="s">
        <v>287</v>
      </c>
      <c r="J1" s="10" t="s">
        <v>288</v>
      </c>
      <c r="K1" s="10" t="s">
        <v>289</v>
      </c>
      <c r="L1" s="10" t="s">
        <v>290</v>
      </c>
      <c r="M1" s="10" t="s">
        <v>291</v>
      </c>
      <c r="N1" s="10" t="s">
        <v>292</v>
      </c>
      <c r="O1" s="10" t="s">
        <v>293</v>
      </c>
      <c r="P1" s="10" t="s">
        <v>294</v>
      </c>
      <c r="Q1" s="10" t="s">
        <v>295</v>
      </c>
      <c r="R1" s="10" t="s">
        <v>56</v>
      </c>
      <c r="S1" s="10" t="s">
        <v>57</v>
      </c>
    </row>
    <row r="2" spans="1:19" ht="32">
      <c r="A2" s="7" t="s">
        <v>296</v>
      </c>
      <c r="B2" s="7" t="s">
        <v>297</v>
      </c>
      <c r="C2" s="7" t="s">
        <v>298</v>
      </c>
      <c r="D2" s="7" t="s">
        <v>299</v>
      </c>
      <c r="E2" s="11">
        <v>-121</v>
      </c>
      <c r="F2" s="11">
        <v>-59</v>
      </c>
      <c r="G2" s="11">
        <v>-221</v>
      </c>
      <c r="H2" s="11">
        <v>2</v>
      </c>
      <c r="I2" s="11">
        <v>-114</v>
      </c>
      <c r="J2" s="11">
        <v>2</v>
      </c>
      <c r="K2" s="11">
        <v>-172</v>
      </c>
      <c r="L2" s="11">
        <v>2</v>
      </c>
      <c r="M2" s="11">
        <v>5</v>
      </c>
      <c r="N2" s="11">
        <f t="shared" ref="N2:N25" si="0">1000*((1+G2/1000)/(1+E2/1000)-1)</f>
        <v>-113.76564277588163</v>
      </c>
      <c r="O2" s="11">
        <f t="shared" ref="O2:O25" si="1">1000*((1+G2/1000)/(1+F2/1000)-1)</f>
        <v>-172.15727948990434</v>
      </c>
      <c r="P2" s="11">
        <f t="shared" ref="P2:P25" si="2">I2-N2</f>
        <v>-0.23435722411836934</v>
      </c>
      <c r="Q2" s="11">
        <f t="shared" ref="Q2:Q25" si="3">K2-O2</f>
        <v>0.15727948990434015</v>
      </c>
      <c r="R2" s="7" t="s">
        <v>300</v>
      </c>
      <c r="S2" s="12" t="s">
        <v>301</v>
      </c>
    </row>
    <row r="3" spans="1:19" ht="32">
      <c r="A3" s="7" t="s">
        <v>296</v>
      </c>
      <c r="B3" s="7" t="s">
        <v>297</v>
      </c>
      <c r="C3" s="7" t="s">
        <v>298</v>
      </c>
      <c r="D3" s="7" t="s">
        <v>299</v>
      </c>
      <c r="E3" s="11">
        <v>-60</v>
      </c>
      <c r="F3" s="11">
        <v>-34</v>
      </c>
      <c r="G3" s="11">
        <v>-192</v>
      </c>
      <c r="H3" s="11">
        <v>2</v>
      </c>
      <c r="I3" s="11">
        <v>-140</v>
      </c>
      <c r="J3" s="11">
        <v>3</v>
      </c>
      <c r="K3" s="11">
        <v>-163</v>
      </c>
      <c r="L3" s="11">
        <v>3</v>
      </c>
      <c r="M3" s="11">
        <v>4</v>
      </c>
      <c r="N3" s="11">
        <f t="shared" si="0"/>
        <v>-140.4255319148935</v>
      </c>
      <c r="O3" s="11">
        <f t="shared" si="1"/>
        <v>-163.56107660455476</v>
      </c>
      <c r="P3" s="11">
        <f t="shared" si="2"/>
        <v>0.42553191489349729</v>
      </c>
      <c r="Q3" s="11">
        <f t="shared" si="3"/>
        <v>0.56107660455475639</v>
      </c>
      <c r="R3" s="7" t="s">
        <v>300</v>
      </c>
      <c r="S3" s="12" t="s">
        <v>301</v>
      </c>
    </row>
    <row r="4" spans="1:19" ht="32">
      <c r="A4" s="7" t="s">
        <v>296</v>
      </c>
      <c r="B4" s="7" t="s">
        <v>297</v>
      </c>
      <c r="C4" s="7" t="s">
        <v>298</v>
      </c>
      <c r="D4" s="7" t="s">
        <v>299</v>
      </c>
      <c r="E4" s="11">
        <v>-5</v>
      </c>
      <c r="F4" s="11">
        <v>-11</v>
      </c>
      <c r="G4" s="11">
        <v>-166</v>
      </c>
      <c r="H4" s="11">
        <v>3</v>
      </c>
      <c r="I4" s="11">
        <v>-162</v>
      </c>
      <c r="J4" s="11">
        <v>3</v>
      </c>
      <c r="K4" s="11">
        <v>-156</v>
      </c>
      <c r="L4" s="11">
        <v>3</v>
      </c>
      <c r="M4" s="11">
        <v>5</v>
      </c>
      <c r="N4" s="11">
        <f t="shared" si="0"/>
        <v>-161.80904522613071</v>
      </c>
      <c r="O4" s="11">
        <f t="shared" si="1"/>
        <v>-156.72396359959561</v>
      </c>
      <c r="P4" s="11">
        <f t="shared" si="2"/>
        <v>-0.1909547738692936</v>
      </c>
      <c r="Q4" s="11">
        <f t="shared" si="3"/>
        <v>0.72396359959560641</v>
      </c>
      <c r="R4" s="7" t="s">
        <v>300</v>
      </c>
      <c r="S4" s="12" t="s">
        <v>301</v>
      </c>
    </row>
    <row r="5" spans="1:19" ht="32">
      <c r="A5" s="7" t="s">
        <v>296</v>
      </c>
      <c r="B5" s="7" t="s">
        <v>297</v>
      </c>
      <c r="C5" s="7" t="s">
        <v>298</v>
      </c>
      <c r="D5" s="7" t="s">
        <v>299</v>
      </c>
      <c r="E5" s="11">
        <v>60</v>
      </c>
      <c r="F5" s="11">
        <v>16</v>
      </c>
      <c r="G5" s="11">
        <v>-148</v>
      </c>
      <c r="H5" s="11">
        <v>1</v>
      </c>
      <c r="I5" s="11">
        <v>-196</v>
      </c>
      <c r="J5" s="11">
        <v>1</v>
      </c>
      <c r="K5" s="11">
        <v>-161</v>
      </c>
      <c r="L5" s="11">
        <v>1</v>
      </c>
      <c r="M5" s="11">
        <v>4</v>
      </c>
      <c r="N5" s="11">
        <f t="shared" si="0"/>
        <v>-196.2264150943397</v>
      </c>
      <c r="O5" s="11">
        <f t="shared" si="1"/>
        <v>-161.41732283464572</v>
      </c>
      <c r="P5" s="11">
        <f t="shared" si="2"/>
        <v>0.22641509433969986</v>
      </c>
      <c r="Q5" s="11">
        <f t="shared" si="3"/>
        <v>0.41732283464571651</v>
      </c>
      <c r="R5" s="7" t="s">
        <v>300</v>
      </c>
      <c r="S5" s="12" t="s">
        <v>301</v>
      </c>
    </row>
    <row r="6" spans="1:19" ht="32">
      <c r="A6" s="7" t="s">
        <v>296</v>
      </c>
      <c r="B6" s="7" t="s">
        <v>297</v>
      </c>
      <c r="C6" s="7" t="s">
        <v>298</v>
      </c>
      <c r="D6" s="7" t="s">
        <v>299</v>
      </c>
      <c r="E6" s="11">
        <v>114</v>
      </c>
      <c r="F6" s="11">
        <v>38</v>
      </c>
      <c r="G6" s="11">
        <v>-118</v>
      </c>
      <c r="H6" s="11">
        <v>3</v>
      </c>
      <c r="I6" s="11">
        <v>-208</v>
      </c>
      <c r="J6" s="11">
        <v>2</v>
      </c>
      <c r="K6" s="11">
        <v>-150</v>
      </c>
      <c r="L6" s="11">
        <v>3</v>
      </c>
      <c r="M6" s="11">
        <v>4</v>
      </c>
      <c r="N6" s="11">
        <f t="shared" si="0"/>
        <v>-208.25852782764821</v>
      </c>
      <c r="O6" s="11">
        <f t="shared" si="1"/>
        <v>-150.28901734104051</v>
      </c>
      <c r="P6" s="11">
        <f t="shared" si="2"/>
        <v>0.25852782764820859</v>
      </c>
      <c r="Q6" s="11">
        <f t="shared" si="3"/>
        <v>0.28901734104050547</v>
      </c>
      <c r="R6" s="7" t="s">
        <v>300</v>
      </c>
      <c r="S6" s="12" t="s">
        <v>301</v>
      </c>
    </row>
    <row r="7" spans="1:19" ht="32">
      <c r="A7" s="7" t="s">
        <v>296</v>
      </c>
      <c r="B7" s="7" t="s">
        <v>297</v>
      </c>
      <c r="C7" s="7" t="s">
        <v>298</v>
      </c>
      <c r="D7" s="7" t="s">
        <v>299</v>
      </c>
      <c r="E7" s="11">
        <v>172</v>
      </c>
      <c r="F7" s="11">
        <v>62</v>
      </c>
      <c r="G7" s="11">
        <v>-91</v>
      </c>
      <c r="H7" s="11">
        <v>2</v>
      </c>
      <c r="I7" s="11">
        <v>-224</v>
      </c>
      <c r="J7" s="11">
        <v>2</v>
      </c>
      <c r="K7" s="11">
        <v>-144</v>
      </c>
      <c r="L7" s="11">
        <v>2</v>
      </c>
      <c r="M7" s="11">
        <v>5</v>
      </c>
      <c r="N7" s="11">
        <f t="shared" si="0"/>
        <v>-224.40273037542659</v>
      </c>
      <c r="O7" s="11">
        <f t="shared" si="1"/>
        <v>-144.06779661016955</v>
      </c>
      <c r="P7" s="11">
        <f t="shared" si="2"/>
        <v>0.40273037542658585</v>
      </c>
      <c r="Q7" s="11">
        <f t="shared" si="3"/>
        <v>6.7796610169551741E-2</v>
      </c>
      <c r="R7" s="7" t="s">
        <v>300</v>
      </c>
      <c r="S7" s="12" t="s">
        <v>301</v>
      </c>
    </row>
    <row r="8" spans="1:19" ht="32">
      <c r="A8" s="7" t="s">
        <v>296</v>
      </c>
      <c r="B8" s="7" t="s">
        <v>297</v>
      </c>
      <c r="C8" s="7" t="s">
        <v>298</v>
      </c>
      <c r="D8" s="7" t="s">
        <v>302</v>
      </c>
      <c r="E8" s="11">
        <v>-121</v>
      </c>
      <c r="F8" s="11">
        <v>-49</v>
      </c>
      <c r="G8" s="11">
        <v>-212</v>
      </c>
      <c r="H8" s="11">
        <v>0</v>
      </c>
      <c r="I8" s="11">
        <v>-104</v>
      </c>
      <c r="J8" s="11">
        <v>0</v>
      </c>
      <c r="K8" s="11">
        <v>-171</v>
      </c>
      <c r="L8" s="11">
        <v>0</v>
      </c>
      <c r="M8" s="11">
        <v>5</v>
      </c>
      <c r="N8" s="11">
        <f t="shared" si="0"/>
        <v>-103.52673492605224</v>
      </c>
      <c r="O8" s="11">
        <f t="shared" si="1"/>
        <v>-171.39852786540476</v>
      </c>
      <c r="P8" s="11">
        <f t="shared" si="2"/>
        <v>-0.47326507394775774</v>
      </c>
      <c r="Q8" s="11">
        <f t="shared" si="3"/>
        <v>0.39852786540475904</v>
      </c>
      <c r="R8" s="7" t="s">
        <v>300</v>
      </c>
      <c r="S8" s="12" t="s">
        <v>301</v>
      </c>
    </row>
    <row r="9" spans="1:19" ht="32">
      <c r="A9" s="7" t="s">
        <v>296</v>
      </c>
      <c r="B9" s="7" t="s">
        <v>297</v>
      </c>
      <c r="C9" s="7" t="s">
        <v>298</v>
      </c>
      <c r="D9" s="7" t="s">
        <v>302</v>
      </c>
      <c r="E9" s="11">
        <v>-60</v>
      </c>
      <c r="F9" s="11">
        <v>-6</v>
      </c>
      <c r="G9" s="11">
        <v>-171</v>
      </c>
      <c r="H9" s="11">
        <v>1</v>
      </c>
      <c r="I9" s="11">
        <v>-118</v>
      </c>
      <c r="J9" s="11">
        <v>1</v>
      </c>
      <c r="K9" s="11">
        <v>-166</v>
      </c>
      <c r="L9" s="11">
        <v>1</v>
      </c>
      <c r="M9" s="11">
        <v>4</v>
      </c>
      <c r="N9" s="11">
        <f t="shared" si="0"/>
        <v>-118.08510638297875</v>
      </c>
      <c r="O9" s="11">
        <f t="shared" si="1"/>
        <v>-165.99597585513081</v>
      </c>
      <c r="P9" s="11">
        <f t="shared" si="2"/>
        <v>8.5106382978750617E-2</v>
      </c>
      <c r="Q9" s="11">
        <f t="shared" si="3"/>
        <v>-4.0241448691915593E-3</v>
      </c>
      <c r="R9" s="7" t="s">
        <v>300</v>
      </c>
      <c r="S9" s="12" t="s">
        <v>301</v>
      </c>
    </row>
    <row r="10" spans="1:19" ht="32">
      <c r="A10" s="7" t="s">
        <v>296</v>
      </c>
      <c r="B10" s="7" t="s">
        <v>297</v>
      </c>
      <c r="C10" s="7" t="s">
        <v>298</v>
      </c>
      <c r="D10" s="7" t="s">
        <v>302</v>
      </c>
      <c r="E10" s="11">
        <v>-5</v>
      </c>
      <c r="F10" s="11">
        <v>34</v>
      </c>
      <c r="G10" s="11">
        <v>-135</v>
      </c>
      <c r="H10" s="11">
        <v>2</v>
      </c>
      <c r="I10" s="11">
        <v>-131</v>
      </c>
      <c r="J10" s="11">
        <v>2</v>
      </c>
      <c r="K10" s="11">
        <v>-163</v>
      </c>
      <c r="L10" s="11">
        <v>2</v>
      </c>
      <c r="M10" s="11">
        <v>9</v>
      </c>
      <c r="N10" s="11">
        <f t="shared" si="0"/>
        <v>-130.6532663316583</v>
      </c>
      <c r="O10" s="11">
        <f t="shared" si="1"/>
        <v>-163.44294003868475</v>
      </c>
      <c r="P10" s="11">
        <f t="shared" si="2"/>
        <v>-0.34673366834169883</v>
      </c>
      <c r="Q10" s="11">
        <f t="shared" si="3"/>
        <v>0.44294003868475329</v>
      </c>
      <c r="R10" s="7" t="s">
        <v>300</v>
      </c>
      <c r="S10" s="12" t="s">
        <v>301</v>
      </c>
    </row>
    <row r="11" spans="1:19" ht="32">
      <c r="A11" s="7" t="s">
        <v>296</v>
      </c>
      <c r="B11" s="7" t="s">
        <v>297</v>
      </c>
      <c r="C11" s="7" t="s">
        <v>298</v>
      </c>
      <c r="D11" s="7" t="s">
        <v>302</v>
      </c>
      <c r="E11" s="11">
        <v>60</v>
      </c>
      <c r="F11" s="11">
        <v>80</v>
      </c>
      <c r="G11" s="11">
        <v>-93</v>
      </c>
      <c r="H11" s="11">
        <v>7</v>
      </c>
      <c r="I11" s="11">
        <v>-145</v>
      </c>
      <c r="J11" s="11">
        <v>6</v>
      </c>
      <c r="K11" s="11">
        <v>-160</v>
      </c>
      <c r="L11" s="11">
        <v>6</v>
      </c>
      <c r="M11" s="11">
        <v>6</v>
      </c>
      <c r="N11" s="11">
        <f t="shared" si="0"/>
        <v>-144.33962264150946</v>
      </c>
      <c r="O11" s="11">
        <f t="shared" si="1"/>
        <v>-160.18518518518522</v>
      </c>
      <c r="P11" s="11">
        <f t="shared" si="2"/>
        <v>-0.66037735849053547</v>
      </c>
      <c r="Q11" s="11">
        <f t="shared" si="3"/>
        <v>0.18518518518521887</v>
      </c>
      <c r="R11" s="7" t="s">
        <v>300</v>
      </c>
      <c r="S11" s="12" t="s">
        <v>301</v>
      </c>
    </row>
    <row r="12" spans="1:19" ht="32">
      <c r="A12" s="7" t="s">
        <v>296</v>
      </c>
      <c r="B12" s="7" t="s">
        <v>297</v>
      </c>
      <c r="C12" s="7" t="s">
        <v>298</v>
      </c>
      <c r="D12" s="7" t="s">
        <v>302</v>
      </c>
      <c r="E12" s="11">
        <v>114</v>
      </c>
      <c r="F12" s="11">
        <v>119</v>
      </c>
      <c r="G12" s="11">
        <v>-76</v>
      </c>
      <c r="H12" s="11">
        <v>5</v>
      </c>
      <c r="I12" s="11">
        <v>-171</v>
      </c>
      <c r="J12" s="11">
        <v>5</v>
      </c>
      <c r="K12" s="11">
        <v>-174</v>
      </c>
      <c r="L12" s="11">
        <v>5</v>
      </c>
      <c r="M12" s="11">
        <v>7</v>
      </c>
      <c r="N12" s="11">
        <f t="shared" si="0"/>
        <v>-170.5565529622981</v>
      </c>
      <c r="O12" s="11">
        <f t="shared" si="1"/>
        <v>-174.26273458445041</v>
      </c>
      <c r="P12" s="11">
        <f t="shared" si="2"/>
        <v>-0.44344703770190108</v>
      </c>
      <c r="Q12" s="11">
        <f t="shared" si="3"/>
        <v>0.26273458445041342</v>
      </c>
      <c r="R12" s="7" t="s">
        <v>300</v>
      </c>
      <c r="S12" s="12" t="s">
        <v>301</v>
      </c>
    </row>
    <row r="13" spans="1:19" ht="32">
      <c r="A13" s="7" t="s">
        <v>296</v>
      </c>
      <c r="B13" s="7" t="s">
        <v>297</v>
      </c>
      <c r="C13" s="7" t="s">
        <v>298</v>
      </c>
      <c r="D13" s="7" t="s">
        <v>302</v>
      </c>
      <c r="E13" s="11">
        <v>172</v>
      </c>
      <c r="F13" s="11">
        <v>160</v>
      </c>
      <c r="G13" s="11">
        <v>-35</v>
      </c>
      <c r="H13" s="11">
        <v>5</v>
      </c>
      <c r="I13" s="11">
        <v>-177</v>
      </c>
      <c r="J13" s="11">
        <v>4</v>
      </c>
      <c r="K13" s="11">
        <v>-168</v>
      </c>
      <c r="L13" s="11">
        <v>4</v>
      </c>
      <c r="M13" s="11">
        <v>13</v>
      </c>
      <c r="N13" s="11">
        <f t="shared" si="0"/>
        <v>-176.62116040955632</v>
      </c>
      <c r="O13" s="11">
        <f t="shared" si="1"/>
        <v>-168.10344827586198</v>
      </c>
      <c r="P13" s="11">
        <f t="shared" si="2"/>
        <v>-0.37883959044367543</v>
      </c>
      <c r="Q13" s="11">
        <f t="shared" si="3"/>
        <v>0.1034482758619788</v>
      </c>
      <c r="R13" s="7" t="s">
        <v>300</v>
      </c>
      <c r="S13" s="12" t="s">
        <v>301</v>
      </c>
    </row>
    <row r="14" spans="1:19" ht="32">
      <c r="A14" s="7" t="s">
        <v>296</v>
      </c>
      <c r="B14" s="7" t="s">
        <v>303</v>
      </c>
      <c r="C14" s="7" t="s">
        <v>304</v>
      </c>
      <c r="D14" s="7" t="s">
        <v>299</v>
      </c>
      <c r="E14" s="11">
        <v>-121</v>
      </c>
      <c r="F14" s="11">
        <v>-59</v>
      </c>
      <c r="G14" s="11">
        <v>-187</v>
      </c>
      <c r="H14" s="11">
        <v>1</v>
      </c>
      <c r="I14" s="11">
        <v>-75</v>
      </c>
      <c r="J14" s="11">
        <v>2</v>
      </c>
      <c r="K14" s="11">
        <v>-136</v>
      </c>
      <c r="L14" s="11">
        <v>1</v>
      </c>
      <c r="M14" s="11">
        <v>5</v>
      </c>
      <c r="N14" s="11">
        <f t="shared" si="0"/>
        <v>-75.08532423208203</v>
      </c>
      <c r="O14" s="11">
        <f t="shared" si="1"/>
        <v>-136.02550478214681</v>
      </c>
      <c r="P14" s="11">
        <f t="shared" si="2"/>
        <v>8.5324232082029994E-2</v>
      </c>
      <c r="Q14" s="11">
        <f t="shared" si="3"/>
        <v>2.5504782146811067E-2</v>
      </c>
      <c r="R14" s="7" t="s">
        <v>300</v>
      </c>
      <c r="S14" s="12" t="s">
        <v>301</v>
      </c>
    </row>
    <row r="15" spans="1:19" ht="32">
      <c r="A15" s="7" t="s">
        <v>296</v>
      </c>
      <c r="B15" s="7" t="s">
        <v>303</v>
      </c>
      <c r="C15" s="7" t="s">
        <v>304</v>
      </c>
      <c r="D15" s="7" t="s">
        <v>299</v>
      </c>
      <c r="E15" s="11">
        <v>-60</v>
      </c>
      <c r="F15" s="11">
        <v>-34</v>
      </c>
      <c r="G15" s="11">
        <v>-175</v>
      </c>
      <c r="H15" s="11">
        <v>1</v>
      </c>
      <c r="I15" s="11">
        <v>-122</v>
      </c>
      <c r="J15" s="11">
        <v>1</v>
      </c>
      <c r="K15" s="11">
        <v>-145</v>
      </c>
      <c r="L15" s="11">
        <v>1</v>
      </c>
      <c r="M15" s="11">
        <v>4</v>
      </c>
      <c r="N15" s="11">
        <f t="shared" si="0"/>
        <v>-122.34042553191493</v>
      </c>
      <c r="O15" s="11">
        <f t="shared" si="1"/>
        <v>-145.96273291925465</v>
      </c>
      <c r="P15" s="11">
        <f t="shared" si="2"/>
        <v>0.34042553191493141</v>
      </c>
      <c r="Q15" s="11">
        <f t="shared" si="3"/>
        <v>0.96273291925464832</v>
      </c>
      <c r="R15" s="7" t="s">
        <v>300</v>
      </c>
      <c r="S15" s="12" t="s">
        <v>301</v>
      </c>
    </row>
    <row r="16" spans="1:19" ht="32">
      <c r="A16" s="7" t="s">
        <v>296</v>
      </c>
      <c r="B16" s="7" t="s">
        <v>303</v>
      </c>
      <c r="C16" s="7" t="s">
        <v>304</v>
      </c>
      <c r="D16" s="7" t="s">
        <v>299</v>
      </c>
      <c r="E16" s="11">
        <v>-5</v>
      </c>
      <c r="F16" s="11">
        <v>-11</v>
      </c>
      <c r="G16" s="11">
        <v>-156</v>
      </c>
      <c r="H16" s="11">
        <v>2</v>
      </c>
      <c r="I16" s="11">
        <v>-152</v>
      </c>
      <c r="J16" s="11">
        <v>2</v>
      </c>
      <c r="K16" s="11">
        <v>-146</v>
      </c>
      <c r="L16" s="11">
        <v>2</v>
      </c>
      <c r="M16" s="11">
        <v>5</v>
      </c>
      <c r="N16" s="11">
        <f t="shared" si="0"/>
        <v>-151.75879396984925</v>
      </c>
      <c r="O16" s="11">
        <f t="shared" si="1"/>
        <v>-146.61274014155711</v>
      </c>
      <c r="P16" s="11">
        <f t="shared" si="2"/>
        <v>-0.24120603015074948</v>
      </c>
      <c r="Q16" s="11">
        <f t="shared" si="3"/>
        <v>0.61274014155711143</v>
      </c>
      <c r="R16" s="7" t="s">
        <v>300</v>
      </c>
      <c r="S16" s="12" t="s">
        <v>301</v>
      </c>
    </row>
    <row r="17" spans="1:19" ht="32">
      <c r="A17" s="7" t="s">
        <v>296</v>
      </c>
      <c r="B17" s="7" t="s">
        <v>303</v>
      </c>
      <c r="C17" s="7" t="s">
        <v>304</v>
      </c>
      <c r="D17" s="7" t="s">
        <v>299</v>
      </c>
      <c r="E17" s="11">
        <v>60</v>
      </c>
      <c r="F17" s="11">
        <v>16</v>
      </c>
      <c r="G17" s="11">
        <v>-141</v>
      </c>
      <c r="H17" s="11">
        <v>1</v>
      </c>
      <c r="I17" s="11">
        <v>-190</v>
      </c>
      <c r="J17" s="11">
        <v>1</v>
      </c>
      <c r="K17" s="11">
        <v>-155</v>
      </c>
      <c r="L17" s="11">
        <v>1</v>
      </c>
      <c r="M17" s="11">
        <v>8</v>
      </c>
      <c r="N17" s="11">
        <f t="shared" si="0"/>
        <v>-189.62264150943398</v>
      </c>
      <c r="O17" s="11">
        <f t="shared" si="1"/>
        <v>-154.52755905511816</v>
      </c>
      <c r="P17" s="11">
        <f t="shared" si="2"/>
        <v>-0.37735849056602433</v>
      </c>
      <c r="Q17" s="11">
        <f t="shared" si="3"/>
        <v>-0.47244094488183919</v>
      </c>
      <c r="R17" s="7" t="s">
        <v>300</v>
      </c>
      <c r="S17" s="12" t="s">
        <v>301</v>
      </c>
    </row>
    <row r="18" spans="1:19" ht="32">
      <c r="A18" s="7" t="s">
        <v>296</v>
      </c>
      <c r="B18" s="7" t="s">
        <v>303</v>
      </c>
      <c r="C18" s="7" t="s">
        <v>304</v>
      </c>
      <c r="D18" s="7" t="s">
        <v>299</v>
      </c>
      <c r="E18" s="11">
        <v>114</v>
      </c>
      <c r="F18" s="11">
        <v>38</v>
      </c>
      <c r="G18" s="11">
        <v>-115</v>
      </c>
      <c r="H18" s="11">
        <v>5</v>
      </c>
      <c r="I18" s="11">
        <v>-206</v>
      </c>
      <c r="J18" s="11">
        <v>4</v>
      </c>
      <c r="K18" s="11">
        <v>-148</v>
      </c>
      <c r="L18" s="11">
        <v>5</v>
      </c>
      <c r="M18" s="11">
        <v>8</v>
      </c>
      <c r="N18" s="11">
        <f t="shared" si="0"/>
        <v>-205.56552962298036</v>
      </c>
      <c r="O18" s="11">
        <f t="shared" si="1"/>
        <v>-147.39884393063585</v>
      </c>
      <c r="P18" s="11">
        <f t="shared" si="2"/>
        <v>-0.43447037701963609</v>
      </c>
      <c r="Q18" s="11">
        <f t="shared" si="3"/>
        <v>-0.60115606936415134</v>
      </c>
      <c r="R18" s="7" t="s">
        <v>300</v>
      </c>
      <c r="S18" s="12" t="s">
        <v>301</v>
      </c>
    </row>
    <row r="19" spans="1:19" ht="32">
      <c r="A19" s="7" t="s">
        <v>296</v>
      </c>
      <c r="B19" s="7" t="s">
        <v>303</v>
      </c>
      <c r="C19" s="7" t="s">
        <v>304</v>
      </c>
      <c r="D19" s="7" t="s">
        <v>299</v>
      </c>
      <c r="E19" s="11">
        <v>172</v>
      </c>
      <c r="F19" s="11">
        <v>62</v>
      </c>
      <c r="G19" s="11">
        <v>-93</v>
      </c>
      <c r="H19" s="11">
        <v>2</v>
      </c>
      <c r="I19" s="11">
        <v>-227</v>
      </c>
      <c r="J19" s="11">
        <v>2</v>
      </c>
      <c r="K19" s="11">
        <v>-147</v>
      </c>
      <c r="L19" s="11">
        <v>2</v>
      </c>
      <c r="M19" s="11">
        <v>5</v>
      </c>
      <c r="N19" s="11">
        <f t="shared" si="0"/>
        <v>-226.10921501706483</v>
      </c>
      <c r="O19" s="11">
        <f t="shared" si="1"/>
        <v>-145.95103578154422</v>
      </c>
      <c r="P19" s="11">
        <f t="shared" si="2"/>
        <v>-0.89078498293517328</v>
      </c>
      <c r="Q19" s="11">
        <f t="shared" si="3"/>
        <v>-1.0489642184557795</v>
      </c>
      <c r="R19" s="7" t="s">
        <v>300</v>
      </c>
      <c r="S19" s="12" t="s">
        <v>301</v>
      </c>
    </row>
    <row r="20" spans="1:19" ht="32">
      <c r="A20" s="7" t="s">
        <v>296</v>
      </c>
      <c r="B20" s="7" t="s">
        <v>303</v>
      </c>
      <c r="C20" s="7" t="s">
        <v>304</v>
      </c>
      <c r="D20" s="7" t="s">
        <v>302</v>
      </c>
      <c r="E20" s="11">
        <v>-121</v>
      </c>
      <c r="F20" s="11">
        <v>-49</v>
      </c>
      <c r="G20" s="11">
        <v>-187</v>
      </c>
      <c r="H20" s="11">
        <v>3</v>
      </c>
      <c r="I20" s="11">
        <v>-76</v>
      </c>
      <c r="J20" s="11">
        <v>3</v>
      </c>
      <c r="K20" s="11">
        <v>-145</v>
      </c>
      <c r="L20" s="11">
        <v>3</v>
      </c>
      <c r="M20" s="11">
        <v>6</v>
      </c>
      <c r="N20" s="11">
        <f t="shared" si="0"/>
        <v>-75.08532423208203</v>
      </c>
      <c r="O20" s="11">
        <f t="shared" si="1"/>
        <v>-145.11041009463722</v>
      </c>
      <c r="P20" s="11">
        <f t="shared" si="2"/>
        <v>-0.91467576791797001</v>
      </c>
      <c r="Q20" s="11">
        <f t="shared" si="3"/>
        <v>0.11041009463721707</v>
      </c>
      <c r="R20" s="7" t="s">
        <v>300</v>
      </c>
      <c r="S20" s="12" t="s">
        <v>301</v>
      </c>
    </row>
    <row r="21" spans="1:19" ht="32">
      <c r="A21" s="7" t="s">
        <v>296</v>
      </c>
      <c r="B21" s="7" t="s">
        <v>303</v>
      </c>
      <c r="C21" s="7" t="s">
        <v>304</v>
      </c>
      <c r="D21" s="7" t="s">
        <v>302</v>
      </c>
      <c r="E21" s="11">
        <v>-60</v>
      </c>
      <c r="F21" s="11">
        <v>-6</v>
      </c>
      <c r="G21" s="11">
        <v>-151</v>
      </c>
      <c r="H21" s="11">
        <v>6</v>
      </c>
      <c r="I21" s="11">
        <v>-96</v>
      </c>
      <c r="J21" s="11">
        <v>7</v>
      </c>
      <c r="K21" s="11">
        <v>-146</v>
      </c>
      <c r="L21" s="11">
        <v>6</v>
      </c>
      <c r="M21" s="11">
        <v>8</v>
      </c>
      <c r="N21" s="11">
        <f t="shared" si="0"/>
        <v>-96.808510638297875</v>
      </c>
      <c r="O21" s="11">
        <f t="shared" si="1"/>
        <v>-145.87525150905435</v>
      </c>
      <c r="P21" s="11">
        <f t="shared" si="2"/>
        <v>0.80851063829787506</v>
      </c>
      <c r="Q21" s="11">
        <f t="shared" si="3"/>
        <v>-0.12474849094564888</v>
      </c>
      <c r="R21" s="7" t="s">
        <v>300</v>
      </c>
      <c r="S21" s="12" t="s">
        <v>301</v>
      </c>
    </row>
    <row r="22" spans="1:19" ht="32">
      <c r="A22" s="7" t="s">
        <v>296</v>
      </c>
      <c r="B22" s="7" t="s">
        <v>303</v>
      </c>
      <c r="C22" s="7" t="s">
        <v>304</v>
      </c>
      <c r="D22" s="7" t="s">
        <v>302</v>
      </c>
      <c r="E22" s="11">
        <v>-5</v>
      </c>
      <c r="F22" s="11">
        <v>34</v>
      </c>
      <c r="G22" s="11">
        <v>-120</v>
      </c>
      <c r="H22" s="11">
        <v>4</v>
      </c>
      <c r="I22" s="11">
        <v>-115</v>
      </c>
      <c r="J22" s="11">
        <v>4</v>
      </c>
      <c r="K22" s="11">
        <v>-148</v>
      </c>
      <c r="L22" s="11">
        <v>4</v>
      </c>
      <c r="M22" s="11">
        <v>5</v>
      </c>
      <c r="N22" s="11">
        <f t="shared" si="0"/>
        <v>-115.57788944723613</v>
      </c>
      <c r="O22" s="11">
        <f t="shared" si="1"/>
        <v>-148.93617021276594</v>
      </c>
      <c r="P22" s="11">
        <f t="shared" si="2"/>
        <v>0.57788944723613156</v>
      </c>
      <c r="Q22" s="11">
        <f t="shared" si="3"/>
        <v>0.93617021276594414</v>
      </c>
      <c r="R22" s="7" t="s">
        <v>300</v>
      </c>
      <c r="S22" s="12" t="s">
        <v>301</v>
      </c>
    </row>
    <row r="23" spans="1:19" ht="32">
      <c r="A23" s="7" t="s">
        <v>296</v>
      </c>
      <c r="B23" s="7" t="s">
        <v>303</v>
      </c>
      <c r="C23" s="7" t="s">
        <v>304</v>
      </c>
      <c r="D23" s="7" t="s">
        <v>302</v>
      </c>
      <c r="E23" s="11">
        <v>60</v>
      </c>
      <c r="F23" s="11">
        <v>80</v>
      </c>
      <c r="G23" s="11">
        <v>-87</v>
      </c>
      <c r="H23" s="11">
        <v>4</v>
      </c>
      <c r="I23" s="11">
        <v>-139</v>
      </c>
      <c r="J23" s="11">
        <v>4</v>
      </c>
      <c r="K23" s="11">
        <v>-155</v>
      </c>
      <c r="L23" s="11">
        <v>4</v>
      </c>
      <c r="M23" s="11">
        <v>5</v>
      </c>
      <c r="N23" s="11">
        <f t="shared" si="0"/>
        <v>-138.6792452830189</v>
      </c>
      <c r="O23" s="11">
        <f t="shared" si="1"/>
        <v>-154.62962962962968</v>
      </c>
      <c r="P23" s="11">
        <f t="shared" si="2"/>
        <v>-0.32075471698109936</v>
      </c>
      <c r="Q23" s="11">
        <f t="shared" si="3"/>
        <v>-0.37037037037032405</v>
      </c>
      <c r="R23" s="7" t="s">
        <v>300</v>
      </c>
      <c r="S23" s="12" t="s">
        <v>301</v>
      </c>
    </row>
    <row r="24" spans="1:19" ht="32">
      <c r="A24" s="7" t="s">
        <v>296</v>
      </c>
      <c r="B24" s="7" t="s">
        <v>303</v>
      </c>
      <c r="C24" s="7" t="s">
        <v>304</v>
      </c>
      <c r="D24" s="7" t="s">
        <v>302</v>
      </c>
      <c r="E24" s="11">
        <v>114</v>
      </c>
      <c r="F24" s="11">
        <v>119</v>
      </c>
      <c r="G24" s="11">
        <v>-58</v>
      </c>
      <c r="H24" s="11">
        <v>4</v>
      </c>
      <c r="I24" s="11">
        <v>-155</v>
      </c>
      <c r="J24" s="11">
        <v>4</v>
      </c>
      <c r="K24" s="11">
        <v>-158</v>
      </c>
      <c r="L24" s="11">
        <v>4</v>
      </c>
      <c r="M24" s="11">
        <v>10</v>
      </c>
      <c r="N24" s="11">
        <f t="shared" si="0"/>
        <v>-154.39856373429095</v>
      </c>
      <c r="O24" s="11">
        <f t="shared" si="1"/>
        <v>-158.17694369973191</v>
      </c>
      <c r="P24" s="11">
        <f t="shared" si="2"/>
        <v>-0.6014362657090544</v>
      </c>
      <c r="Q24" s="11">
        <f t="shared" si="3"/>
        <v>0.1769436997319076</v>
      </c>
      <c r="R24" s="7" t="s">
        <v>300</v>
      </c>
      <c r="S24" s="12" t="s">
        <v>301</v>
      </c>
    </row>
    <row r="25" spans="1:19" ht="32">
      <c r="A25" s="7" t="s">
        <v>296</v>
      </c>
      <c r="B25" s="7" t="s">
        <v>303</v>
      </c>
      <c r="C25" s="7" t="s">
        <v>304</v>
      </c>
      <c r="D25" s="7" t="s">
        <v>302</v>
      </c>
      <c r="E25" s="11">
        <v>172</v>
      </c>
      <c r="F25" s="11">
        <v>160</v>
      </c>
      <c r="G25" s="11">
        <v>-20</v>
      </c>
      <c r="H25" s="11">
        <v>6</v>
      </c>
      <c r="I25" s="11">
        <v>-164</v>
      </c>
      <c r="J25" s="11">
        <v>5</v>
      </c>
      <c r="K25" s="11">
        <v>-155</v>
      </c>
      <c r="L25" s="11">
        <v>5</v>
      </c>
      <c r="M25" s="11">
        <v>11</v>
      </c>
      <c r="N25" s="11">
        <f t="shared" si="0"/>
        <v>-163.82252559726962</v>
      </c>
      <c r="O25" s="11">
        <f t="shared" si="1"/>
        <v>-155.17241379310343</v>
      </c>
      <c r="P25" s="11">
        <f t="shared" si="2"/>
        <v>-0.17747440273038251</v>
      </c>
      <c r="Q25" s="11">
        <f t="shared" si="3"/>
        <v>0.17241379310343063</v>
      </c>
      <c r="R25" s="7" t="s">
        <v>300</v>
      </c>
      <c r="S25" s="12" t="s">
        <v>301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E7" sqref="A1:XFD1048576"/>
    </sheetView>
  </sheetViews>
  <sheetFormatPr baseColWidth="10" defaultColWidth="8.83203125" defaultRowHeight="15"/>
  <cols>
    <col min="1" max="2" width="18" style="6" customWidth="1"/>
    <col min="3" max="3" width="36" style="6" customWidth="1"/>
    <col min="4" max="4" width="18" style="6" customWidth="1"/>
    <col min="5" max="5" width="17.6640625" style="6" bestFit="1" customWidth="1"/>
    <col min="6" max="7" width="18" style="6" customWidth="1"/>
    <col min="8" max="8" width="36" style="6" customWidth="1"/>
    <col min="9" max="16384" width="8.83203125" style="6"/>
  </cols>
  <sheetData>
    <row r="1" spans="1:8" ht="32">
      <c r="A1" s="8" t="s">
        <v>30</v>
      </c>
      <c r="B1" s="8" t="s">
        <v>747</v>
      </c>
      <c r="C1" s="8" t="s">
        <v>305</v>
      </c>
      <c r="D1" s="8" t="s">
        <v>0</v>
      </c>
      <c r="E1" s="8" t="s">
        <v>306</v>
      </c>
      <c r="F1" s="8" t="s">
        <v>291</v>
      </c>
      <c r="G1" s="8" t="s">
        <v>56</v>
      </c>
      <c r="H1" s="8" t="s">
        <v>57</v>
      </c>
    </row>
    <row r="2" spans="1:8" ht="32">
      <c r="A2" s="7" t="s">
        <v>296</v>
      </c>
      <c r="B2" s="7" t="s">
        <v>307</v>
      </c>
      <c r="C2" s="7" t="s">
        <v>308</v>
      </c>
      <c r="D2" s="7" t="s">
        <v>309</v>
      </c>
      <c r="E2" s="7" t="s">
        <v>310</v>
      </c>
      <c r="F2" s="7"/>
      <c r="G2" s="7" t="s">
        <v>300</v>
      </c>
      <c r="H2" s="12" t="s">
        <v>301</v>
      </c>
    </row>
    <row r="3" spans="1:8" ht="32">
      <c r="A3" s="7" t="s">
        <v>296</v>
      </c>
      <c r="B3" s="7" t="s">
        <v>307</v>
      </c>
      <c r="C3" s="7" t="s">
        <v>311</v>
      </c>
      <c r="D3" s="7" t="s">
        <v>312</v>
      </c>
      <c r="E3" s="7" t="s">
        <v>313</v>
      </c>
      <c r="F3" s="7"/>
      <c r="G3" s="7" t="s">
        <v>300</v>
      </c>
      <c r="H3" s="12" t="s">
        <v>301</v>
      </c>
    </row>
    <row r="4" spans="1:8" ht="48">
      <c r="A4" s="7" t="s">
        <v>314</v>
      </c>
      <c r="B4" s="7" t="s">
        <v>315</v>
      </c>
      <c r="C4" s="7" t="s">
        <v>316</v>
      </c>
      <c r="D4" s="7" t="s">
        <v>317</v>
      </c>
      <c r="E4" s="7" t="s">
        <v>318</v>
      </c>
      <c r="F4" s="7">
        <v>136</v>
      </c>
      <c r="G4" s="7" t="s">
        <v>319</v>
      </c>
      <c r="H4" s="12" t="s">
        <v>320</v>
      </c>
    </row>
    <row r="5" spans="1:8" ht="32">
      <c r="A5" s="7" t="s">
        <v>321</v>
      </c>
      <c r="B5" s="7" t="s">
        <v>322</v>
      </c>
      <c r="C5" s="7" t="s">
        <v>323</v>
      </c>
      <c r="D5" s="7" t="s">
        <v>324</v>
      </c>
      <c r="E5" s="7" t="s">
        <v>325</v>
      </c>
      <c r="F5" s="7"/>
      <c r="G5" s="7" t="s">
        <v>326</v>
      </c>
      <c r="H5" s="12" t="s">
        <v>327</v>
      </c>
    </row>
    <row r="6" spans="1:8" ht="32">
      <c r="A6" s="7" t="s">
        <v>321</v>
      </c>
      <c r="B6" s="7" t="s">
        <v>322</v>
      </c>
      <c r="C6" s="7" t="s">
        <v>328</v>
      </c>
      <c r="D6" s="7" t="s">
        <v>329</v>
      </c>
      <c r="E6" s="7" t="s">
        <v>330</v>
      </c>
      <c r="F6" s="7"/>
      <c r="G6" s="7" t="s">
        <v>326</v>
      </c>
      <c r="H6" s="12" t="s">
        <v>327</v>
      </c>
    </row>
    <row r="7" spans="1:8" ht="48">
      <c r="A7" s="7" t="s">
        <v>331</v>
      </c>
      <c r="B7" s="7" t="s">
        <v>332</v>
      </c>
      <c r="C7" s="7" t="s">
        <v>333</v>
      </c>
      <c r="D7" s="7" t="s">
        <v>334</v>
      </c>
      <c r="E7" s="7" t="s">
        <v>335</v>
      </c>
      <c r="F7" s="7"/>
      <c r="G7" s="7" t="s">
        <v>336</v>
      </c>
      <c r="H7" s="12" t="s">
        <v>337</v>
      </c>
    </row>
    <row r="8" spans="1:8" ht="32">
      <c r="A8" s="7" t="s">
        <v>338</v>
      </c>
      <c r="B8" s="7" t="s">
        <v>339</v>
      </c>
      <c r="C8" s="7" t="s">
        <v>340</v>
      </c>
      <c r="D8" s="7" t="s">
        <v>341</v>
      </c>
      <c r="E8" s="7" t="s">
        <v>342</v>
      </c>
      <c r="F8" s="7"/>
      <c r="G8" s="7" t="s">
        <v>343</v>
      </c>
      <c r="H8" s="7" t="s">
        <v>344</v>
      </c>
    </row>
    <row r="9" spans="1:8" ht="32">
      <c r="A9" s="7" t="s">
        <v>338</v>
      </c>
      <c r="B9" s="7" t="s">
        <v>339</v>
      </c>
      <c r="C9" s="7" t="s">
        <v>345</v>
      </c>
      <c r="D9" s="7" t="s">
        <v>346</v>
      </c>
      <c r="E9" s="7" t="s">
        <v>342</v>
      </c>
      <c r="F9" s="7"/>
      <c r="G9" s="7" t="s">
        <v>343</v>
      </c>
      <c r="H9" s="7" t="s">
        <v>344</v>
      </c>
    </row>
    <row r="10" spans="1:8" ht="32">
      <c r="A10" s="7" t="s">
        <v>347</v>
      </c>
      <c r="B10" s="7" t="s">
        <v>348</v>
      </c>
      <c r="C10" s="7" t="s">
        <v>349</v>
      </c>
      <c r="D10" s="7" t="s">
        <v>350</v>
      </c>
      <c r="E10" s="7" t="s">
        <v>351</v>
      </c>
      <c r="F10" s="7">
        <v>179</v>
      </c>
      <c r="G10" s="7" t="s">
        <v>352</v>
      </c>
      <c r="H10" s="7" t="s">
        <v>353</v>
      </c>
    </row>
    <row r="11" spans="1:8" ht="64">
      <c r="A11" s="7" t="s">
        <v>354</v>
      </c>
      <c r="B11" s="7" t="s">
        <v>355</v>
      </c>
      <c r="C11" s="7" t="s">
        <v>356</v>
      </c>
      <c r="D11" s="7" t="s">
        <v>357</v>
      </c>
      <c r="E11" s="7" t="s">
        <v>358</v>
      </c>
      <c r="F11" s="7"/>
      <c r="G11" s="7" t="s">
        <v>359</v>
      </c>
      <c r="H11" s="7" t="s">
        <v>360</v>
      </c>
    </row>
    <row r="12" spans="1:8" ht="48">
      <c r="A12" s="7" t="s">
        <v>24</v>
      </c>
      <c r="B12" s="7" t="s">
        <v>361</v>
      </c>
      <c r="C12" s="7" t="s">
        <v>362</v>
      </c>
      <c r="D12" s="7" t="s">
        <v>363</v>
      </c>
      <c r="E12" s="7" t="s">
        <v>364</v>
      </c>
      <c r="F12" s="7"/>
      <c r="G12" s="7" t="s">
        <v>365</v>
      </c>
      <c r="H12" s="7" t="s">
        <v>366</v>
      </c>
    </row>
    <row r="13" spans="1:8" ht="48">
      <c r="A13" s="7" t="s">
        <v>367</v>
      </c>
      <c r="B13" s="7" t="s">
        <v>368</v>
      </c>
      <c r="C13" s="7" t="s">
        <v>369</v>
      </c>
      <c r="D13" s="7" t="s">
        <v>370</v>
      </c>
      <c r="E13" s="7" t="s">
        <v>371</v>
      </c>
      <c r="F13" s="7"/>
      <c r="G13" s="7" t="s">
        <v>372</v>
      </c>
      <c r="H13" s="7" t="s">
        <v>373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topLeftCell="A4" workbookViewId="0">
      <selection activeCell="F19" sqref="F19"/>
    </sheetView>
  </sheetViews>
  <sheetFormatPr baseColWidth="10" defaultColWidth="8.83203125" defaultRowHeight="15"/>
  <cols>
    <col min="1" max="3" width="16" style="6" customWidth="1"/>
    <col min="4" max="8" width="28" style="6" customWidth="1"/>
    <col min="9" max="10" width="16" style="6" customWidth="1"/>
    <col min="11" max="12" width="40" style="6" customWidth="1"/>
    <col min="13" max="16384" width="8.83203125" style="6"/>
  </cols>
  <sheetData>
    <row r="1" spans="1:12" ht="32">
      <c r="A1" s="8" t="s">
        <v>30</v>
      </c>
      <c r="B1" s="8" t="s">
        <v>374</v>
      </c>
      <c r="C1" s="8" t="s">
        <v>375</v>
      </c>
      <c r="D1" s="8" t="s">
        <v>748</v>
      </c>
      <c r="E1" s="8" t="s">
        <v>376</v>
      </c>
      <c r="F1" s="8" t="s">
        <v>377</v>
      </c>
      <c r="G1" s="8" t="s">
        <v>378</v>
      </c>
      <c r="H1" s="8" t="s">
        <v>379</v>
      </c>
      <c r="I1" s="8" t="s">
        <v>380</v>
      </c>
      <c r="J1" s="8" t="s">
        <v>56</v>
      </c>
      <c r="K1" s="8" t="s">
        <v>381</v>
      </c>
      <c r="L1" s="8" t="s">
        <v>382</v>
      </c>
    </row>
    <row r="2" spans="1:12" ht="32">
      <c r="A2" s="7" t="s">
        <v>14</v>
      </c>
      <c r="B2" s="7">
        <v>2014</v>
      </c>
      <c r="C2" s="7" t="s">
        <v>383</v>
      </c>
      <c r="D2" s="7" t="s">
        <v>384</v>
      </c>
      <c r="E2" s="7" t="s">
        <v>385</v>
      </c>
      <c r="F2" s="7" t="s">
        <v>386</v>
      </c>
      <c r="G2" s="7" t="s">
        <v>387</v>
      </c>
      <c r="H2" s="7" t="s">
        <v>388</v>
      </c>
      <c r="I2" s="7">
        <v>102</v>
      </c>
      <c r="J2" s="12" t="s">
        <v>63</v>
      </c>
      <c r="K2" s="12" t="s">
        <v>64</v>
      </c>
      <c r="L2" s="7" t="s">
        <v>65</v>
      </c>
    </row>
    <row r="3" spans="1:12" ht="32">
      <c r="A3" s="7" t="s">
        <v>296</v>
      </c>
      <c r="B3" s="7">
        <v>2015</v>
      </c>
      <c r="C3" s="7" t="s">
        <v>389</v>
      </c>
      <c r="D3" s="7" t="s">
        <v>390</v>
      </c>
      <c r="E3" s="7" t="s">
        <v>391</v>
      </c>
      <c r="F3" s="7" t="s">
        <v>392</v>
      </c>
      <c r="G3" s="7" t="s">
        <v>393</v>
      </c>
      <c r="H3" s="7" t="s">
        <v>394</v>
      </c>
      <c r="I3" s="7">
        <v>24</v>
      </c>
      <c r="J3" s="12" t="s">
        <v>300</v>
      </c>
      <c r="K3" s="12" t="s">
        <v>301</v>
      </c>
      <c r="L3" s="7"/>
    </row>
    <row r="4" spans="1:12" ht="80">
      <c r="A4" s="7" t="s">
        <v>338</v>
      </c>
      <c r="B4" s="7">
        <v>2016</v>
      </c>
      <c r="C4" s="7" t="s">
        <v>395</v>
      </c>
      <c r="D4" s="7" t="s">
        <v>396</v>
      </c>
      <c r="E4" s="7" t="s">
        <v>397</v>
      </c>
      <c r="F4" s="7" t="s">
        <v>398</v>
      </c>
      <c r="G4" s="7" t="s">
        <v>399</v>
      </c>
      <c r="H4" s="7" t="s">
        <v>400</v>
      </c>
      <c r="I4" s="7">
        <v>64</v>
      </c>
      <c r="J4" s="12" t="s">
        <v>343</v>
      </c>
      <c r="K4" s="12" t="s">
        <v>344</v>
      </c>
      <c r="L4" s="7" t="s">
        <v>401</v>
      </c>
    </row>
    <row r="5" spans="1:12" ht="48">
      <c r="A5" s="7" t="s">
        <v>402</v>
      </c>
      <c r="B5" s="7">
        <v>2021</v>
      </c>
      <c r="C5" s="7" t="s">
        <v>403</v>
      </c>
      <c r="D5" s="7" t="s">
        <v>404</v>
      </c>
      <c r="E5" s="7" t="s">
        <v>405</v>
      </c>
      <c r="F5" s="7" t="s">
        <v>406</v>
      </c>
      <c r="G5" s="7" t="s">
        <v>407</v>
      </c>
      <c r="H5" s="7" t="s">
        <v>408</v>
      </c>
      <c r="I5" s="7">
        <v>97</v>
      </c>
      <c r="J5" s="12" t="s">
        <v>409</v>
      </c>
      <c r="K5" s="12" t="s">
        <v>410</v>
      </c>
      <c r="L5" s="7" t="s">
        <v>410</v>
      </c>
    </row>
    <row r="6" spans="1:12" ht="48">
      <c r="A6" s="7" t="s">
        <v>24</v>
      </c>
      <c r="B6" s="7">
        <v>2024</v>
      </c>
      <c r="C6" s="7" t="s">
        <v>411</v>
      </c>
      <c r="D6" s="7" t="s">
        <v>412</v>
      </c>
      <c r="E6" s="7" t="s">
        <v>413</v>
      </c>
      <c r="F6" s="7" t="s">
        <v>414</v>
      </c>
      <c r="G6" s="7" t="s">
        <v>415</v>
      </c>
      <c r="H6" s="7" t="s">
        <v>416</v>
      </c>
      <c r="I6" s="7">
        <v>27</v>
      </c>
      <c r="J6" s="12" t="s">
        <v>365</v>
      </c>
      <c r="K6" s="12" t="s">
        <v>366</v>
      </c>
      <c r="L6" s="7" t="s">
        <v>366</v>
      </c>
    </row>
    <row r="7" spans="1:12" ht="32">
      <c r="A7" s="7" t="s">
        <v>417</v>
      </c>
      <c r="B7" s="7">
        <v>2024</v>
      </c>
      <c r="C7" s="7" t="s">
        <v>418</v>
      </c>
      <c r="D7" s="7" t="s">
        <v>419</v>
      </c>
      <c r="E7" s="7" t="s">
        <v>420</v>
      </c>
      <c r="F7" s="7" t="s">
        <v>421</v>
      </c>
      <c r="G7" s="7" t="s">
        <v>422</v>
      </c>
      <c r="H7" s="7" t="s">
        <v>423</v>
      </c>
      <c r="I7" s="7">
        <v>0</v>
      </c>
      <c r="J7" s="12" t="s">
        <v>424</v>
      </c>
      <c r="K7" s="12" t="s">
        <v>425</v>
      </c>
      <c r="L7" s="7" t="s">
        <v>426</v>
      </c>
    </row>
    <row r="8" spans="1:12" ht="32">
      <c r="A8" s="7" t="s">
        <v>314</v>
      </c>
      <c r="B8" s="7">
        <v>2016</v>
      </c>
      <c r="C8" s="7" t="s">
        <v>427</v>
      </c>
      <c r="D8" s="7" t="s">
        <v>428</v>
      </c>
      <c r="E8" s="7" t="s">
        <v>429</v>
      </c>
      <c r="F8" s="7" t="s">
        <v>430</v>
      </c>
      <c r="G8" s="7" t="s">
        <v>431</v>
      </c>
      <c r="H8" s="7" t="s">
        <v>408</v>
      </c>
      <c r="I8" s="7">
        <v>0</v>
      </c>
      <c r="J8" s="12" t="s">
        <v>319</v>
      </c>
      <c r="K8" s="12" t="s">
        <v>320</v>
      </c>
      <c r="L8" s="7"/>
    </row>
    <row r="9" spans="1:12" ht="32">
      <c r="A9" s="7" t="s">
        <v>321</v>
      </c>
      <c r="B9" s="7">
        <v>2013</v>
      </c>
      <c r="C9" s="7" t="s">
        <v>432</v>
      </c>
      <c r="D9" s="7" t="s">
        <v>433</v>
      </c>
      <c r="E9" s="7" t="s">
        <v>434</v>
      </c>
      <c r="F9" s="7" t="s">
        <v>430</v>
      </c>
      <c r="G9" s="7" t="s">
        <v>435</v>
      </c>
      <c r="H9" s="7" t="s">
        <v>436</v>
      </c>
      <c r="I9" s="7">
        <v>0</v>
      </c>
      <c r="J9" s="12" t="s">
        <v>326</v>
      </c>
      <c r="K9" s="12" t="s">
        <v>327</v>
      </c>
      <c r="L9" s="7"/>
    </row>
    <row r="10" spans="1:12" ht="32">
      <c r="A10" s="7" t="s">
        <v>437</v>
      </c>
      <c r="B10" s="7">
        <v>2016</v>
      </c>
      <c r="C10" s="7" t="s">
        <v>438</v>
      </c>
      <c r="D10" s="7" t="s">
        <v>439</v>
      </c>
      <c r="E10" s="7" t="s">
        <v>440</v>
      </c>
      <c r="F10" s="7" t="s">
        <v>430</v>
      </c>
      <c r="G10" s="7" t="s">
        <v>435</v>
      </c>
      <c r="H10" s="7" t="s">
        <v>441</v>
      </c>
      <c r="I10" s="7">
        <v>0</v>
      </c>
      <c r="J10" s="12" t="s">
        <v>442</v>
      </c>
      <c r="K10" s="12" t="s">
        <v>443</v>
      </c>
      <c r="L10" s="7"/>
    </row>
    <row r="11" spans="1:12" ht="32">
      <c r="A11" s="7" t="s">
        <v>347</v>
      </c>
      <c r="B11" s="7">
        <v>2025</v>
      </c>
      <c r="C11" s="7" t="s">
        <v>444</v>
      </c>
      <c r="D11" s="7" t="s">
        <v>445</v>
      </c>
      <c r="E11" s="7" t="s">
        <v>446</v>
      </c>
      <c r="F11" s="7" t="s">
        <v>447</v>
      </c>
      <c r="G11" s="7" t="s">
        <v>448</v>
      </c>
      <c r="H11" s="7" t="s">
        <v>449</v>
      </c>
      <c r="I11" s="7">
        <v>0</v>
      </c>
      <c r="J11" s="12" t="s">
        <v>352</v>
      </c>
      <c r="K11" s="12" t="s">
        <v>353</v>
      </c>
      <c r="L11" s="7"/>
    </row>
    <row r="12" spans="1:12" ht="32">
      <c r="A12" s="7" t="s">
        <v>354</v>
      </c>
      <c r="B12" s="7">
        <v>2013</v>
      </c>
      <c r="C12" s="7" t="s">
        <v>450</v>
      </c>
      <c r="D12" s="7" t="s">
        <v>451</v>
      </c>
      <c r="E12" s="7" t="s">
        <v>452</v>
      </c>
      <c r="F12" s="7" t="s">
        <v>430</v>
      </c>
      <c r="G12" s="7" t="s">
        <v>453</v>
      </c>
      <c r="H12" s="7" t="s">
        <v>454</v>
      </c>
      <c r="I12" s="7">
        <v>0</v>
      </c>
      <c r="J12" s="12" t="s">
        <v>359</v>
      </c>
      <c r="K12" s="12" t="s">
        <v>360</v>
      </c>
      <c r="L12" s="7"/>
    </row>
    <row r="13" spans="1:12" ht="32">
      <c r="A13" s="7" t="s">
        <v>331</v>
      </c>
      <c r="B13" s="7">
        <v>2010</v>
      </c>
      <c r="C13" s="7" t="s">
        <v>455</v>
      </c>
      <c r="D13" s="7" t="s">
        <v>456</v>
      </c>
      <c r="E13" s="7" t="s">
        <v>457</v>
      </c>
      <c r="F13" s="7" t="s">
        <v>430</v>
      </c>
      <c r="G13" s="7" t="s">
        <v>458</v>
      </c>
      <c r="H13" s="7" t="s">
        <v>459</v>
      </c>
      <c r="I13" s="7">
        <v>0</v>
      </c>
      <c r="J13" s="12" t="s">
        <v>336</v>
      </c>
      <c r="K13" s="12" t="s">
        <v>337</v>
      </c>
      <c r="L13" s="7"/>
    </row>
    <row r="14" spans="1:12" ht="32">
      <c r="A14" s="7" t="s">
        <v>460</v>
      </c>
      <c r="B14" s="7">
        <v>2011</v>
      </c>
      <c r="C14" s="7" t="s">
        <v>461</v>
      </c>
      <c r="D14" s="7" t="s">
        <v>439</v>
      </c>
      <c r="E14" s="7" t="s">
        <v>462</v>
      </c>
      <c r="F14" s="7" t="s">
        <v>430</v>
      </c>
      <c r="G14" s="7" t="s">
        <v>463</v>
      </c>
      <c r="H14" s="7" t="s">
        <v>464</v>
      </c>
      <c r="I14" s="7">
        <v>0</v>
      </c>
      <c r="J14" s="12" t="s">
        <v>465</v>
      </c>
      <c r="K14" s="12" t="s">
        <v>466</v>
      </c>
      <c r="L14" s="7"/>
    </row>
    <row r="15" spans="1:12" ht="32">
      <c r="A15" s="7" t="s">
        <v>467</v>
      </c>
      <c r="B15" s="7">
        <v>2016</v>
      </c>
      <c r="C15" s="7" t="s">
        <v>468</v>
      </c>
      <c r="D15" s="7" t="s">
        <v>469</v>
      </c>
      <c r="E15" s="7" t="s">
        <v>470</v>
      </c>
      <c r="F15" s="7" t="s">
        <v>471</v>
      </c>
      <c r="G15" s="7" t="s">
        <v>472</v>
      </c>
      <c r="H15" s="7" t="s">
        <v>473</v>
      </c>
      <c r="I15" s="7">
        <v>0</v>
      </c>
      <c r="J15" s="7" t="s">
        <v>474</v>
      </c>
      <c r="K15" s="7" t="s">
        <v>475</v>
      </c>
      <c r="L15" s="7"/>
    </row>
    <row r="16" spans="1:12" ht="32">
      <c r="A16" s="7" t="s">
        <v>476</v>
      </c>
      <c r="B16" s="7">
        <v>2014</v>
      </c>
      <c r="C16" s="7" t="s">
        <v>477</v>
      </c>
      <c r="D16" s="7" t="s">
        <v>478</v>
      </c>
      <c r="E16" s="7" t="s">
        <v>470</v>
      </c>
      <c r="F16" s="7" t="s">
        <v>430</v>
      </c>
      <c r="G16" s="7" t="s">
        <v>435</v>
      </c>
      <c r="H16" s="7" t="s">
        <v>479</v>
      </c>
      <c r="I16" s="7">
        <v>0</v>
      </c>
      <c r="J16" s="7" t="s">
        <v>480</v>
      </c>
      <c r="K16" s="7" t="s">
        <v>481</v>
      </c>
      <c r="L16" s="7"/>
    </row>
    <row r="17" spans="1:12" ht="32">
      <c r="A17" s="7" t="s">
        <v>482</v>
      </c>
      <c r="B17" s="7">
        <v>2018</v>
      </c>
      <c r="C17" s="7" t="s">
        <v>483</v>
      </c>
      <c r="D17" s="7" t="s">
        <v>484</v>
      </c>
      <c r="E17" s="7" t="s">
        <v>470</v>
      </c>
      <c r="F17" s="7" t="s">
        <v>485</v>
      </c>
      <c r="G17" s="7" t="s">
        <v>486</v>
      </c>
      <c r="H17" s="7" t="s">
        <v>479</v>
      </c>
      <c r="I17" s="7">
        <v>0</v>
      </c>
      <c r="J17" s="7" t="s">
        <v>487</v>
      </c>
      <c r="K17" s="7" t="s">
        <v>488</v>
      </c>
      <c r="L17" s="7"/>
    </row>
    <row r="18" spans="1:12" ht="32">
      <c r="A18" s="7" t="s">
        <v>367</v>
      </c>
      <c r="B18" s="7">
        <v>2023</v>
      </c>
      <c r="C18" s="7" t="s">
        <v>489</v>
      </c>
      <c r="D18" s="7" t="s">
        <v>490</v>
      </c>
      <c r="E18" s="7" t="s">
        <v>491</v>
      </c>
      <c r="F18" s="7" t="s">
        <v>492</v>
      </c>
      <c r="G18" s="7" t="s">
        <v>486</v>
      </c>
      <c r="H18" s="7" t="s">
        <v>17</v>
      </c>
      <c r="I18" s="7">
        <v>0</v>
      </c>
      <c r="J18" s="7" t="s">
        <v>493</v>
      </c>
      <c r="K18" s="7" t="s">
        <v>373</v>
      </c>
      <c r="L18" s="7"/>
    </row>
    <row r="19" spans="1:12" ht="32">
      <c r="A19" s="7" t="s">
        <v>494</v>
      </c>
      <c r="B19" s="7">
        <v>2023</v>
      </c>
      <c r="C19" s="7" t="s">
        <v>495</v>
      </c>
      <c r="D19" s="7" t="s">
        <v>496</v>
      </c>
      <c r="E19" s="7" t="s">
        <v>497</v>
      </c>
      <c r="F19" s="7" t="s">
        <v>498</v>
      </c>
      <c r="G19" s="7" t="s">
        <v>486</v>
      </c>
      <c r="H19" s="7" t="s">
        <v>280</v>
      </c>
      <c r="I19" s="7">
        <v>0</v>
      </c>
      <c r="J19" s="7" t="s">
        <v>499</v>
      </c>
      <c r="K19" s="7" t="s">
        <v>500</v>
      </c>
      <c r="L19" s="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tabSelected="1" topLeftCell="A2" workbookViewId="0">
      <selection activeCell="C26" sqref="C26"/>
    </sheetView>
  </sheetViews>
  <sheetFormatPr baseColWidth="10" defaultColWidth="8.83203125" defaultRowHeight="15"/>
  <cols>
    <col min="1" max="2" width="24" customWidth="1"/>
    <col min="3" max="3" width="42" customWidth="1"/>
    <col min="4" max="4" width="24" customWidth="1"/>
  </cols>
  <sheetData>
    <row r="1" spans="1:4" ht="16">
      <c r="A1" s="5" t="s">
        <v>505</v>
      </c>
      <c r="B1" s="5" t="s">
        <v>506</v>
      </c>
      <c r="C1" s="5" t="s">
        <v>507</v>
      </c>
      <c r="D1" s="5" t="s">
        <v>508</v>
      </c>
    </row>
    <row r="2" spans="1:4" ht="32">
      <c r="A2" s="1" t="s">
        <v>501</v>
      </c>
      <c r="B2" s="1" t="s">
        <v>509</v>
      </c>
      <c r="C2" s="1" t="s">
        <v>510</v>
      </c>
      <c r="D2" s="1" t="s">
        <v>511</v>
      </c>
    </row>
    <row r="3" spans="1:4" ht="32">
      <c r="A3" s="1" t="s">
        <v>503</v>
      </c>
      <c r="B3" s="1" t="s">
        <v>509</v>
      </c>
      <c r="C3" s="1" t="s">
        <v>512</v>
      </c>
      <c r="D3" s="1" t="s">
        <v>511</v>
      </c>
    </row>
    <row r="4" spans="1:4" ht="32">
      <c r="A4" s="1" t="s">
        <v>502</v>
      </c>
      <c r="B4" s="1" t="s">
        <v>509</v>
      </c>
      <c r="C4" s="1" t="s">
        <v>513</v>
      </c>
      <c r="D4" s="1" t="s">
        <v>511</v>
      </c>
    </row>
    <row r="5" spans="1:4" ht="32">
      <c r="A5" s="1" t="s">
        <v>514</v>
      </c>
      <c r="B5" s="1" t="s">
        <v>509</v>
      </c>
      <c r="C5" s="1" t="s">
        <v>515</v>
      </c>
      <c r="D5" s="1" t="s">
        <v>511</v>
      </c>
    </row>
    <row r="6" spans="1:4" ht="32">
      <c r="A6" s="1" t="s">
        <v>402</v>
      </c>
      <c r="B6" s="1" t="s">
        <v>509</v>
      </c>
      <c r="C6" s="1" t="s">
        <v>516</v>
      </c>
      <c r="D6" s="1" t="s">
        <v>511</v>
      </c>
    </row>
    <row r="7" spans="1:4" ht="32">
      <c r="A7" s="1" t="s">
        <v>504</v>
      </c>
      <c r="B7" s="1" t="s">
        <v>509</v>
      </c>
      <c r="C7" s="1" t="s">
        <v>517</v>
      </c>
      <c r="D7" s="1" t="s">
        <v>518</v>
      </c>
    </row>
    <row r="8" spans="1:4" ht="32">
      <c r="A8" s="1" t="s">
        <v>519</v>
      </c>
      <c r="B8" s="1" t="s">
        <v>520</v>
      </c>
      <c r="C8" s="1" t="s">
        <v>521</v>
      </c>
      <c r="D8" s="1" t="s">
        <v>518</v>
      </c>
    </row>
    <row r="9" spans="1:4" ht="16">
      <c r="A9" s="1" t="s">
        <v>522</v>
      </c>
      <c r="B9" s="1" t="s">
        <v>520</v>
      </c>
      <c r="C9" s="1" t="s">
        <v>523</v>
      </c>
      <c r="D9" s="1" t="s">
        <v>518</v>
      </c>
    </row>
    <row r="10" spans="1:4" ht="16">
      <c r="A10" s="1" t="s">
        <v>524</v>
      </c>
      <c r="B10" s="1" t="s">
        <v>520</v>
      </c>
      <c r="C10" s="1" t="s">
        <v>525</v>
      </c>
      <c r="D10" s="1" t="s">
        <v>518</v>
      </c>
    </row>
    <row r="11" spans="1:4" ht="32">
      <c r="A11" s="1" t="s">
        <v>526</v>
      </c>
      <c r="B11" s="1" t="s">
        <v>527</v>
      </c>
      <c r="C11" s="1" t="s">
        <v>528</v>
      </c>
      <c r="D11" s="1" t="s">
        <v>529</v>
      </c>
    </row>
    <row r="12" spans="1:4" ht="16">
      <c r="A12" s="1" t="s">
        <v>530</v>
      </c>
      <c r="B12" s="1" t="s">
        <v>527</v>
      </c>
      <c r="C12" s="1" t="s">
        <v>531</v>
      </c>
      <c r="D12" s="1" t="s">
        <v>532</v>
      </c>
    </row>
    <row r="13" spans="1:4" ht="16">
      <c r="A13" s="1" t="s">
        <v>533</v>
      </c>
      <c r="B13" s="1" t="s">
        <v>534</v>
      </c>
      <c r="C13" s="1" t="s">
        <v>535</v>
      </c>
      <c r="D13" s="1" t="s">
        <v>536</v>
      </c>
    </row>
    <row r="14" spans="1:4" ht="32">
      <c r="A14" s="1" t="s">
        <v>537</v>
      </c>
      <c r="B14" s="1" t="s">
        <v>538</v>
      </c>
      <c r="C14" s="1" t="s">
        <v>539</v>
      </c>
      <c r="D14" s="1" t="s">
        <v>540</v>
      </c>
    </row>
    <row r="15" spans="1:4" ht="32">
      <c r="A15" s="1" t="s">
        <v>541</v>
      </c>
      <c r="B15" s="1" t="s">
        <v>542</v>
      </c>
      <c r="C15" s="1" t="s">
        <v>543</v>
      </c>
      <c r="D15" s="1" t="s">
        <v>544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"/>
  <sheetViews>
    <sheetView topLeftCell="F41" workbookViewId="0">
      <selection activeCell="N1" sqref="N1:N1048576"/>
    </sheetView>
  </sheetViews>
  <sheetFormatPr baseColWidth="10" defaultColWidth="8.83203125" defaultRowHeight="15"/>
  <cols>
    <col min="1" max="1" width="16" customWidth="1"/>
    <col min="2" max="2" width="24" customWidth="1"/>
    <col min="3" max="11" width="16" customWidth="1"/>
    <col min="12" max="13" width="40" customWidth="1"/>
  </cols>
  <sheetData>
    <row r="1" spans="1:13" ht="48">
      <c r="A1" s="2" t="s">
        <v>30</v>
      </c>
      <c r="B1" s="2" t="s">
        <v>280</v>
      </c>
      <c r="C1" s="2" t="s">
        <v>545</v>
      </c>
      <c r="D1" s="2" t="s">
        <v>546</v>
      </c>
      <c r="E1" s="2" t="s">
        <v>547</v>
      </c>
      <c r="F1" s="2" t="s">
        <v>548</v>
      </c>
      <c r="G1" s="2" t="s">
        <v>42</v>
      </c>
      <c r="H1" s="2" t="s">
        <v>40</v>
      </c>
      <c r="I1" s="2" t="s">
        <v>549</v>
      </c>
      <c r="J1" s="2" t="s">
        <v>550</v>
      </c>
      <c r="K1" s="2" t="s">
        <v>56</v>
      </c>
      <c r="L1" s="2" t="s">
        <v>57</v>
      </c>
      <c r="M1" s="2" t="s">
        <v>58</v>
      </c>
    </row>
    <row r="2" spans="1:13" ht="80">
      <c r="A2" s="1" t="s">
        <v>338</v>
      </c>
      <c r="B2" s="1" t="s">
        <v>551</v>
      </c>
      <c r="C2" s="1" t="s">
        <v>552</v>
      </c>
      <c r="D2" s="1" t="s">
        <v>553</v>
      </c>
      <c r="E2" s="3">
        <v>410</v>
      </c>
      <c r="F2" s="3">
        <v>0.17100000000000001</v>
      </c>
      <c r="G2" s="3">
        <v>37</v>
      </c>
      <c r="H2" s="3">
        <v>-176</v>
      </c>
      <c r="I2" s="3">
        <v>-205</v>
      </c>
      <c r="J2" s="3">
        <v>-205.40019286403077</v>
      </c>
      <c r="K2" s="1" t="s">
        <v>343</v>
      </c>
      <c r="L2" s="1" t="s">
        <v>344</v>
      </c>
      <c r="M2" s="1" t="s">
        <v>401</v>
      </c>
    </row>
    <row r="3" spans="1:13" ht="80">
      <c r="A3" s="1" t="s">
        <v>338</v>
      </c>
      <c r="B3" s="1" t="s">
        <v>551</v>
      </c>
      <c r="C3" s="1" t="s">
        <v>552</v>
      </c>
      <c r="D3" s="1" t="s">
        <v>553</v>
      </c>
      <c r="E3" s="3">
        <v>410</v>
      </c>
      <c r="F3" s="3">
        <v>0.23100000000000001</v>
      </c>
      <c r="G3" s="3">
        <v>25</v>
      </c>
      <c r="H3" s="3">
        <v>-187</v>
      </c>
      <c r="I3" s="3">
        <v>-207</v>
      </c>
      <c r="J3" s="3">
        <v>-206.82926829268288</v>
      </c>
      <c r="K3" s="1" t="s">
        <v>343</v>
      </c>
      <c r="L3" s="1" t="s">
        <v>344</v>
      </c>
      <c r="M3" s="1" t="s">
        <v>401</v>
      </c>
    </row>
    <row r="4" spans="1:13" ht="80">
      <c r="A4" s="1" t="s">
        <v>338</v>
      </c>
      <c r="B4" s="1" t="s">
        <v>551</v>
      </c>
      <c r="C4" s="1" t="s">
        <v>552</v>
      </c>
      <c r="D4" s="1" t="s">
        <v>553</v>
      </c>
      <c r="E4" s="3">
        <v>410</v>
      </c>
      <c r="F4" s="3">
        <v>0.308</v>
      </c>
      <c r="G4" s="3">
        <v>4</v>
      </c>
      <c r="H4" s="3">
        <v>-204</v>
      </c>
      <c r="I4" s="3">
        <v>-207</v>
      </c>
      <c r="J4" s="3">
        <v>-207.17131474103579</v>
      </c>
      <c r="K4" s="1" t="s">
        <v>343</v>
      </c>
      <c r="L4" s="1" t="s">
        <v>344</v>
      </c>
      <c r="M4" s="1" t="s">
        <v>401</v>
      </c>
    </row>
    <row r="5" spans="1:13" ht="80">
      <c r="A5" s="1" t="s">
        <v>338</v>
      </c>
      <c r="B5" s="1" t="s">
        <v>551</v>
      </c>
      <c r="C5" s="1" t="s">
        <v>552</v>
      </c>
      <c r="D5" s="1" t="s">
        <v>553</v>
      </c>
      <c r="E5" s="3">
        <v>410</v>
      </c>
      <c r="F5" s="3">
        <v>0.215</v>
      </c>
      <c r="G5" s="3">
        <v>35</v>
      </c>
      <c r="H5" s="3">
        <v>-177</v>
      </c>
      <c r="I5" s="3">
        <v>-205</v>
      </c>
      <c r="J5" s="3">
        <v>-204.83091787439611</v>
      </c>
      <c r="K5" s="1" t="s">
        <v>343</v>
      </c>
      <c r="L5" s="1" t="s">
        <v>344</v>
      </c>
      <c r="M5" s="1" t="s">
        <v>401</v>
      </c>
    </row>
    <row r="6" spans="1:13" ht="80">
      <c r="A6" s="1" t="s">
        <v>338</v>
      </c>
      <c r="B6" s="1" t="s">
        <v>551</v>
      </c>
      <c r="C6" s="1" t="s">
        <v>552</v>
      </c>
      <c r="D6" s="1" t="s">
        <v>553</v>
      </c>
      <c r="E6" s="3">
        <v>410</v>
      </c>
      <c r="F6" s="3">
        <v>0.33500000000000002</v>
      </c>
      <c r="G6" s="3">
        <v>23</v>
      </c>
      <c r="H6" s="3">
        <v>-187</v>
      </c>
      <c r="I6" s="3">
        <v>-205</v>
      </c>
      <c r="J6" s="3">
        <v>-205.27859237536649</v>
      </c>
      <c r="K6" s="1" t="s">
        <v>343</v>
      </c>
      <c r="L6" s="1" t="s">
        <v>344</v>
      </c>
      <c r="M6" s="1" t="s">
        <v>401</v>
      </c>
    </row>
    <row r="7" spans="1:13" ht="80">
      <c r="A7" s="1" t="s">
        <v>338</v>
      </c>
      <c r="B7" s="1" t="s">
        <v>551</v>
      </c>
      <c r="C7" s="1" t="s">
        <v>552</v>
      </c>
      <c r="D7" s="1" t="s">
        <v>553</v>
      </c>
      <c r="E7" s="3">
        <v>410</v>
      </c>
      <c r="F7" s="3">
        <v>0.39400000000000002</v>
      </c>
      <c r="G7" s="3">
        <v>0</v>
      </c>
      <c r="H7" s="3">
        <v>-208</v>
      </c>
      <c r="I7" s="3">
        <v>-208</v>
      </c>
      <c r="J7" s="3">
        <v>-207.99999999999997</v>
      </c>
      <c r="K7" s="1" t="s">
        <v>343</v>
      </c>
      <c r="L7" s="1" t="s">
        <v>344</v>
      </c>
      <c r="M7" s="1" t="s">
        <v>401</v>
      </c>
    </row>
    <row r="8" spans="1:13" ht="80">
      <c r="A8" s="1" t="s">
        <v>338</v>
      </c>
      <c r="B8" s="1" t="s">
        <v>554</v>
      </c>
      <c r="C8" s="1" t="s">
        <v>555</v>
      </c>
      <c r="D8" s="1" t="s">
        <v>556</v>
      </c>
      <c r="E8" s="3">
        <v>410</v>
      </c>
      <c r="F8" s="3">
        <v>0.184</v>
      </c>
      <c r="G8" s="3">
        <v>9</v>
      </c>
      <c r="H8" s="3">
        <v>-180</v>
      </c>
      <c r="I8" s="3">
        <v>-187</v>
      </c>
      <c r="J8" s="3">
        <v>-187.3141724479681</v>
      </c>
      <c r="K8" s="1" t="s">
        <v>343</v>
      </c>
      <c r="L8" s="1" t="s">
        <v>344</v>
      </c>
      <c r="M8" s="1" t="s">
        <v>401</v>
      </c>
    </row>
    <row r="9" spans="1:13" ht="80">
      <c r="A9" s="1" t="s">
        <v>338</v>
      </c>
      <c r="B9" s="1" t="s">
        <v>554</v>
      </c>
      <c r="C9" s="1" t="s">
        <v>555</v>
      </c>
      <c r="D9" s="1" t="s">
        <v>556</v>
      </c>
      <c r="E9" s="3">
        <v>410</v>
      </c>
      <c r="F9" s="3">
        <v>0.41599999999999998</v>
      </c>
      <c r="G9" s="3">
        <v>6</v>
      </c>
      <c r="H9" s="3">
        <v>-180</v>
      </c>
      <c r="I9" s="3">
        <v>-185</v>
      </c>
      <c r="J9" s="3">
        <v>-184.8906560636182</v>
      </c>
      <c r="K9" s="1" t="s">
        <v>343</v>
      </c>
      <c r="L9" s="1" t="s">
        <v>344</v>
      </c>
      <c r="M9" s="1" t="s">
        <v>401</v>
      </c>
    </row>
    <row r="10" spans="1:13" ht="80">
      <c r="A10" s="1" t="s">
        <v>338</v>
      </c>
      <c r="B10" s="1" t="s">
        <v>554</v>
      </c>
      <c r="C10" s="1" t="s">
        <v>555</v>
      </c>
      <c r="D10" s="1" t="s">
        <v>556</v>
      </c>
      <c r="E10" s="3">
        <v>410</v>
      </c>
      <c r="F10" s="3">
        <v>0.39200000000000002</v>
      </c>
      <c r="G10" s="3">
        <v>9</v>
      </c>
      <c r="H10" s="3">
        <v>-180</v>
      </c>
      <c r="I10" s="3">
        <v>-187</v>
      </c>
      <c r="J10" s="3">
        <v>-187.3141724479681</v>
      </c>
      <c r="K10" s="1" t="s">
        <v>343</v>
      </c>
      <c r="L10" s="1" t="s">
        <v>344</v>
      </c>
      <c r="M10" s="1" t="s">
        <v>401</v>
      </c>
    </row>
    <row r="11" spans="1:13" ht="80">
      <c r="A11" s="1" t="s">
        <v>338</v>
      </c>
      <c r="B11" s="1" t="s">
        <v>554</v>
      </c>
      <c r="C11" s="1" t="s">
        <v>555</v>
      </c>
      <c r="D11" s="1" t="s">
        <v>556</v>
      </c>
      <c r="E11" s="3">
        <v>410</v>
      </c>
      <c r="F11" s="3">
        <v>0.20799999999999999</v>
      </c>
      <c r="G11" s="3">
        <v>7</v>
      </c>
      <c r="H11" s="3">
        <v>-182</v>
      </c>
      <c r="I11" s="3">
        <v>-187</v>
      </c>
      <c r="J11" s="3">
        <v>-187.6861966236344</v>
      </c>
      <c r="K11" s="1" t="s">
        <v>343</v>
      </c>
      <c r="L11" s="1" t="s">
        <v>344</v>
      </c>
      <c r="M11" s="1" t="s">
        <v>401</v>
      </c>
    </row>
    <row r="12" spans="1:13" ht="80">
      <c r="A12" s="1" t="s">
        <v>338</v>
      </c>
      <c r="B12" s="1" t="s">
        <v>554</v>
      </c>
      <c r="C12" s="1" t="s">
        <v>555</v>
      </c>
      <c r="D12" s="1" t="s">
        <v>556</v>
      </c>
      <c r="E12" s="3">
        <v>410</v>
      </c>
      <c r="F12" s="3">
        <v>0.309</v>
      </c>
      <c r="G12" s="3">
        <v>8</v>
      </c>
      <c r="H12" s="3">
        <v>-184</v>
      </c>
      <c r="I12" s="3">
        <v>-191</v>
      </c>
      <c r="J12" s="3">
        <v>-190.47619047619045</v>
      </c>
      <c r="K12" s="1" t="s">
        <v>343</v>
      </c>
      <c r="L12" s="1" t="s">
        <v>344</v>
      </c>
      <c r="M12" s="1" t="s">
        <v>401</v>
      </c>
    </row>
    <row r="13" spans="1:13" ht="80">
      <c r="A13" s="1" t="s">
        <v>338</v>
      </c>
      <c r="B13" s="1" t="s">
        <v>554</v>
      </c>
      <c r="C13" s="1" t="s">
        <v>555</v>
      </c>
      <c r="D13" s="1" t="s">
        <v>556</v>
      </c>
      <c r="E13" s="3">
        <v>410</v>
      </c>
      <c r="F13" s="3">
        <v>0.20799999999999999</v>
      </c>
      <c r="G13" s="3">
        <v>7</v>
      </c>
      <c r="H13" s="3">
        <v>-183</v>
      </c>
      <c r="I13" s="3">
        <v>-189</v>
      </c>
      <c r="J13" s="3">
        <v>-188.67924528301882</v>
      </c>
      <c r="K13" s="1" t="s">
        <v>343</v>
      </c>
      <c r="L13" s="1" t="s">
        <v>344</v>
      </c>
      <c r="M13" s="1" t="s">
        <v>401</v>
      </c>
    </row>
    <row r="14" spans="1:13" ht="80">
      <c r="A14" s="1" t="s">
        <v>338</v>
      </c>
      <c r="B14" s="1" t="s">
        <v>554</v>
      </c>
      <c r="C14" s="1" t="s">
        <v>555</v>
      </c>
      <c r="D14" s="1" t="s">
        <v>556</v>
      </c>
      <c r="E14" s="3">
        <v>410</v>
      </c>
      <c r="F14" s="3">
        <v>0.114</v>
      </c>
      <c r="G14" s="3">
        <v>14</v>
      </c>
      <c r="H14" s="3">
        <v>-182</v>
      </c>
      <c r="I14" s="3">
        <v>-193</v>
      </c>
      <c r="J14" s="3">
        <v>-193.2938856015779</v>
      </c>
      <c r="K14" s="1" t="s">
        <v>343</v>
      </c>
      <c r="L14" s="1" t="s">
        <v>344</v>
      </c>
      <c r="M14" s="1" t="s">
        <v>401</v>
      </c>
    </row>
    <row r="15" spans="1:13" ht="80">
      <c r="A15" s="1" t="s">
        <v>338</v>
      </c>
      <c r="B15" s="1" t="s">
        <v>554</v>
      </c>
      <c r="C15" s="1" t="s">
        <v>555</v>
      </c>
      <c r="D15" s="1" t="s">
        <v>556</v>
      </c>
      <c r="E15" s="3">
        <v>410</v>
      </c>
      <c r="F15" s="3">
        <v>0.121</v>
      </c>
      <c r="G15" s="3">
        <v>5</v>
      </c>
      <c r="H15" s="3">
        <v>-188</v>
      </c>
      <c r="I15" s="3">
        <v>-192</v>
      </c>
      <c r="J15" s="3">
        <v>-192.03980099502471</v>
      </c>
      <c r="K15" s="1" t="s">
        <v>343</v>
      </c>
      <c r="L15" s="1" t="s">
        <v>344</v>
      </c>
      <c r="M15" s="1" t="s">
        <v>401</v>
      </c>
    </row>
    <row r="16" spans="1:13" ht="80">
      <c r="A16" s="1" t="s">
        <v>338</v>
      </c>
      <c r="B16" s="1" t="s">
        <v>554</v>
      </c>
      <c r="C16" s="1" t="s">
        <v>555</v>
      </c>
      <c r="D16" s="1" t="s">
        <v>556</v>
      </c>
      <c r="E16" s="3">
        <v>410</v>
      </c>
      <c r="F16" s="3">
        <v>0.185</v>
      </c>
      <c r="G16" s="3">
        <v>8</v>
      </c>
      <c r="H16" s="3">
        <v>-188</v>
      </c>
      <c r="I16" s="3">
        <v>-194</v>
      </c>
      <c r="J16" s="3">
        <v>-194.44444444444443</v>
      </c>
      <c r="K16" s="1" t="s">
        <v>343</v>
      </c>
      <c r="L16" s="1" t="s">
        <v>344</v>
      </c>
      <c r="M16" s="1" t="s">
        <v>401</v>
      </c>
    </row>
    <row r="17" spans="1:13" ht="80">
      <c r="A17" s="1" t="s">
        <v>338</v>
      </c>
      <c r="B17" s="1" t="s">
        <v>554</v>
      </c>
      <c r="C17" s="1" t="s">
        <v>555</v>
      </c>
      <c r="D17" s="1" t="s">
        <v>556</v>
      </c>
      <c r="E17" s="3">
        <v>410</v>
      </c>
      <c r="F17" s="3">
        <v>0.188</v>
      </c>
      <c r="G17" s="3">
        <v>-11</v>
      </c>
      <c r="H17" s="3">
        <v>-195</v>
      </c>
      <c r="I17" s="3">
        <v>-186</v>
      </c>
      <c r="J17" s="3">
        <v>-186.04651162790708</v>
      </c>
      <c r="K17" s="1" t="s">
        <v>343</v>
      </c>
      <c r="L17" s="1" t="s">
        <v>344</v>
      </c>
      <c r="M17" s="1" t="s">
        <v>401</v>
      </c>
    </row>
    <row r="18" spans="1:13" ht="80">
      <c r="A18" s="1" t="s">
        <v>338</v>
      </c>
      <c r="B18" s="1" t="s">
        <v>554</v>
      </c>
      <c r="C18" s="1" t="s">
        <v>555</v>
      </c>
      <c r="D18" s="1" t="s">
        <v>556</v>
      </c>
      <c r="E18" s="3">
        <v>410</v>
      </c>
      <c r="F18" s="3">
        <v>0.21199999999999999</v>
      </c>
      <c r="G18" s="3">
        <v>-15</v>
      </c>
      <c r="H18" s="3">
        <v>-196</v>
      </c>
      <c r="I18" s="3">
        <v>-184</v>
      </c>
      <c r="J18" s="3">
        <v>-183.75634517766491</v>
      </c>
      <c r="K18" s="1" t="s">
        <v>343</v>
      </c>
      <c r="L18" s="1" t="s">
        <v>344</v>
      </c>
      <c r="M18" s="1" t="s">
        <v>401</v>
      </c>
    </row>
    <row r="19" spans="1:13" ht="80">
      <c r="A19" s="1" t="s">
        <v>338</v>
      </c>
      <c r="B19" s="1" t="s">
        <v>554</v>
      </c>
      <c r="C19" s="1" t="s">
        <v>555</v>
      </c>
      <c r="D19" s="1" t="s">
        <v>556</v>
      </c>
      <c r="E19" s="3">
        <v>410</v>
      </c>
      <c r="F19" s="3">
        <v>0.127</v>
      </c>
      <c r="G19" s="3">
        <v>-20</v>
      </c>
      <c r="H19" s="3">
        <v>-197</v>
      </c>
      <c r="I19" s="3">
        <v>-180</v>
      </c>
      <c r="J19" s="3">
        <v>-180.61224489795924</v>
      </c>
      <c r="K19" s="1" t="s">
        <v>343</v>
      </c>
      <c r="L19" s="1" t="s">
        <v>344</v>
      </c>
      <c r="M19" s="1" t="s">
        <v>401</v>
      </c>
    </row>
    <row r="20" spans="1:13" ht="80">
      <c r="A20" s="1" t="s">
        <v>338</v>
      </c>
      <c r="B20" s="1" t="s">
        <v>554</v>
      </c>
      <c r="C20" s="1" t="s">
        <v>555</v>
      </c>
      <c r="D20" s="1" t="s">
        <v>556</v>
      </c>
      <c r="E20" s="3">
        <v>410</v>
      </c>
      <c r="F20" s="3">
        <v>0.245</v>
      </c>
      <c r="G20" s="3">
        <v>-26</v>
      </c>
      <c r="H20" s="3">
        <v>-196</v>
      </c>
      <c r="I20" s="3">
        <v>-174</v>
      </c>
      <c r="J20" s="3">
        <v>-174.53798767967143</v>
      </c>
      <c r="K20" s="1" t="s">
        <v>343</v>
      </c>
      <c r="L20" s="1" t="s">
        <v>344</v>
      </c>
      <c r="M20" s="1" t="s">
        <v>401</v>
      </c>
    </row>
    <row r="21" spans="1:13" ht="80">
      <c r="A21" s="1" t="s">
        <v>338</v>
      </c>
      <c r="B21" s="1" t="s">
        <v>557</v>
      </c>
      <c r="C21" s="1" t="s">
        <v>552</v>
      </c>
      <c r="D21" s="1" t="s">
        <v>553</v>
      </c>
      <c r="E21" s="3">
        <v>410</v>
      </c>
      <c r="F21" s="3">
        <v>8.5999999999999993E-2</v>
      </c>
      <c r="G21" s="3">
        <v>2</v>
      </c>
      <c r="H21" s="3">
        <v>-177</v>
      </c>
      <c r="I21" s="3">
        <v>-178</v>
      </c>
      <c r="J21" s="3">
        <v>-178.64271457085835</v>
      </c>
      <c r="K21" s="1" t="s">
        <v>343</v>
      </c>
      <c r="L21" s="1" t="s">
        <v>344</v>
      </c>
      <c r="M21" s="1" t="s">
        <v>401</v>
      </c>
    </row>
    <row r="22" spans="1:13" ht="80">
      <c r="A22" s="1" t="s">
        <v>338</v>
      </c>
      <c r="B22" s="1" t="s">
        <v>557</v>
      </c>
      <c r="C22" s="1" t="s">
        <v>552</v>
      </c>
      <c r="D22" s="1" t="s">
        <v>553</v>
      </c>
      <c r="E22" s="3">
        <v>410</v>
      </c>
      <c r="F22" s="3">
        <v>0.13900000000000001</v>
      </c>
      <c r="G22" s="3">
        <v>-11</v>
      </c>
      <c r="H22" s="3">
        <v>-187</v>
      </c>
      <c r="I22" s="3">
        <v>-178</v>
      </c>
      <c r="J22" s="3">
        <v>-177.9575328614763</v>
      </c>
      <c r="K22" s="1" t="s">
        <v>343</v>
      </c>
      <c r="L22" s="1" t="s">
        <v>344</v>
      </c>
      <c r="M22" s="1" t="s">
        <v>401</v>
      </c>
    </row>
    <row r="23" spans="1:13" ht="80">
      <c r="A23" s="1" t="s">
        <v>338</v>
      </c>
      <c r="B23" s="1" t="s">
        <v>557</v>
      </c>
      <c r="C23" s="1" t="s">
        <v>552</v>
      </c>
      <c r="D23" s="1" t="s">
        <v>553</v>
      </c>
      <c r="E23" s="3">
        <v>410</v>
      </c>
      <c r="F23" s="3">
        <v>0.13600000000000001</v>
      </c>
      <c r="G23" s="3">
        <v>-20</v>
      </c>
      <c r="H23" s="3">
        <v>-202</v>
      </c>
      <c r="I23" s="3">
        <v>-186</v>
      </c>
      <c r="J23" s="3">
        <v>-185.71428571428561</v>
      </c>
      <c r="K23" s="1" t="s">
        <v>343</v>
      </c>
      <c r="L23" s="1" t="s">
        <v>344</v>
      </c>
      <c r="M23" s="1" t="s">
        <v>401</v>
      </c>
    </row>
    <row r="24" spans="1:13" ht="80">
      <c r="A24" s="1" t="s">
        <v>338</v>
      </c>
      <c r="B24" s="1" t="s">
        <v>558</v>
      </c>
      <c r="C24" s="1" t="s">
        <v>552</v>
      </c>
      <c r="D24" s="1" t="s">
        <v>553</v>
      </c>
      <c r="E24" s="3">
        <v>371</v>
      </c>
      <c r="F24" s="3">
        <v>0.111</v>
      </c>
      <c r="G24" s="3">
        <v>19</v>
      </c>
      <c r="H24" s="3">
        <v>-147</v>
      </c>
      <c r="I24" s="3">
        <v>-163</v>
      </c>
      <c r="J24" s="3">
        <v>-162.9048086359175</v>
      </c>
      <c r="K24" s="1" t="s">
        <v>343</v>
      </c>
      <c r="L24" s="1" t="s">
        <v>344</v>
      </c>
      <c r="M24" s="1" t="s">
        <v>401</v>
      </c>
    </row>
    <row r="25" spans="1:13" ht="80">
      <c r="A25" s="1" t="s">
        <v>338</v>
      </c>
      <c r="B25" s="1" t="s">
        <v>558</v>
      </c>
      <c r="C25" s="1" t="s">
        <v>552</v>
      </c>
      <c r="D25" s="1" t="s">
        <v>553</v>
      </c>
      <c r="E25" s="3">
        <v>371</v>
      </c>
      <c r="F25" s="3">
        <v>0.19600000000000001</v>
      </c>
      <c r="G25" s="3">
        <v>17</v>
      </c>
      <c r="H25" s="3">
        <v>-169</v>
      </c>
      <c r="I25" s="3">
        <v>-183</v>
      </c>
      <c r="J25" s="3">
        <v>-182.89085545722705</v>
      </c>
      <c r="K25" s="1" t="s">
        <v>343</v>
      </c>
      <c r="L25" s="1" t="s">
        <v>344</v>
      </c>
      <c r="M25" s="1" t="s">
        <v>401</v>
      </c>
    </row>
    <row r="26" spans="1:13" ht="80">
      <c r="A26" s="1" t="s">
        <v>338</v>
      </c>
      <c r="B26" s="1" t="s">
        <v>558</v>
      </c>
      <c r="C26" s="1" t="s">
        <v>552</v>
      </c>
      <c r="D26" s="1" t="s">
        <v>553</v>
      </c>
      <c r="E26" s="3">
        <v>371</v>
      </c>
      <c r="F26" s="3">
        <v>0.28000000000000003</v>
      </c>
      <c r="G26" s="3">
        <v>8</v>
      </c>
      <c r="H26" s="3">
        <v>-138</v>
      </c>
      <c r="I26" s="3">
        <v>-145</v>
      </c>
      <c r="J26" s="3">
        <v>-144.84126984126988</v>
      </c>
      <c r="K26" s="1" t="s">
        <v>343</v>
      </c>
      <c r="L26" s="1" t="s">
        <v>344</v>
      </c>
      <c r="M26" s="1" t="s">
        <v>401</v>
      </c>
    </row>
    <row r="27" spans="1:13" ht="80">
      <c r="A27" s="1" t="s">
        <v>338</v>
      </c>
      <c r="B27" s="1" t="s">
        <v>558</v>
      </c>
      <c r="C27" s="1" t="s">
        <v>552</v>
      </c>
      <c r="D27" s="1" t="s">
        <v>553</v>
      </c>
      <c r="E27" s="3">
        <v>371</v>
      </c>
      <c r="F27" s="3">
        <v>0.27400000000000002</v>
      </c>
      <c r="G27" s="3">
        <v>0</v>
      </c>
      <c r="H27" s="3">
        <v>-160</v>
      </c>
      <c r="I27" s="3">
        <v>-160</v>
      </c>
      <c r="J27" s="3">
        <v>-160.00000000000003</v>
      </c>
      <c r="K27" s="1" t="s">
        <v>343</v>
      </c>
      <c r="L27" s="1" t="s">
        <v>344</v>
      </c>
      <c r="M27" s="1" t="s">
        <v>401</v>
      </c>
    </row>
    <row r="28" spans="1:13" ht="80">
      <c r="A28" s="1" t="s">
        <v>338</v>
      </c>
      <c r="B28" s="1" t="s">
        <v>559</v>
      </c>
      <c r="C28" s="1" t="s">
        <v>560</v>
      </c>
      <c r="D28" s="1" t="s">
        <v>556</v>
      </c>
      <c r="E28" s="3">
        <v>371</v>
      </c>
      <c r="F28" s="3">
        <v>0.91</v>
      </c>
      <c r="G28" s="3">
        <v>-7</v>
      </c>
      <c r="H28" s="3">
        <v>-116</v>
      </c>
      <c r="I28" s="3">
        <v>-110</v>
      </c>
      <c r="J28" s="3">
        <v>-109.76837865055388</v>
      </c>
      <c r="K28" s="1" t="s">
        <v>343</v>
      </c>
      <c r="L28" s="1" t="s">
        <v>344</v>
      </c>
      <c r="M28" s="1" t="s">
        <v>401</v>
      </c>
    </row>
    <row r="29" spans="1:13" ht="80">
      <c r="A29" s="1" t="s">
        <v>338</v>
      </c>
      <c r="B29" s="1" t="s">
        <v>559</v>
      </c>
      <c r="C29" s="1" t="s">
        <v>560</v>
      </c>
      <c r="D29" s="1" t="s">
        <v>556</v>
      </c>
      <c r="E29" s="3">
        <v>371</v>
      </c>
      <c r="F29" s="3">
        <v>0.65600000000000003</v>
      </c>
      <c r="G29" s="3">
        <v>-11</v>
      </c>
      <c r="H29" s="3">
        <v>-132</v>
      </c>
      <c r="I29" s="3">
        <v>-123</v>
      </c>
      <c r="J29" s="3">
        <v>-122.3458038422649</v>
      </c>
      <c r="K29" s="1" t="s">
        <v>343</v>
      </c>
      <c r="L29" s="1" t="s">
        <v>344</v>
      </c>
      <c r="M29" s="1" t="s">
        <v>401</v>
      </c>
    </row>
    <row r="30" spans="1:13" ht="80">
      <c r="A30" s="1" t="s">
        <v>338</v>
      </c>
      <c r="B30" s="1" t="s">
        <v>559</v>
      </c>
      <c r="C30" s="1" t="s">
        <v>560</v>
      </c>
      <c r="D30" s="1" t="s">
        <v>556</v>
      </c>
      <c r="E30" s="3">
        <v>371</v>
      </c>
      <c r="F30" s="3">
        <v>0.76300000000000001</v>
      </c>
      <c r="G30" s="3">
        <v>-13</v>
      </c>
      <c r="H30" s="3">
        <v>-141</v>
      </c>
      <c r="I30" s="3">
        <v>-130</v>
      </c>
      <c r="J30" s="3">
        <v>-129.68591691995945</v>
      </c>
      <c r="K30" s="1" t="s">
        <v>343</v>
      </c>
      <c r="L30" s="1" t="s">
        <v>344</v>
      </c>
      <c r="M30" s="1" t="s">
        <v>401</v>
      </c>
    </row>
    <row r="31" spans="1:13" ht="80">
      <c r="A31" s="1" t="s">
        <v>338</v>
      </c>
      <c r="B31" s="1" t="s">
        <v>559</v>
      </c>
      <c r="C31" s="1" t="s">
        <v>560</v>
      </c>
      <c r="D31" s="1" t="s">
        <v>556</v>
      </c>
      <c r="E31" s="3">
        <v>371</v>
      </c>
      <c r="F31" s="3">
        <v>0.48299999999999998</v>
      </c>
      <c r="G31" s="3">
        <v>-13</v>
      </c>
      <c r="H31" s="3">
        <v>-149</v>
      </c>
      <c r="I31" s="3">
        <v>-138</v>
      </c>
      <c r="J31" s="3">
        <v>-137.79128672745699</v>
      </c>
      <c r="K31" s="1" t="s">
        <v>343</v>
      </c>
      <c r="L31" s="1" t="s">
        <v>344</v>
      </c>
      <c r="M31" s="1" t="s">
        <v>401</v>
      </c>
    </row>
    <row r="32" spans="1:13" ht="80">
      <c r="A32" s="1" t="s">
        <v>338</v>
      </c>
      <c r="B32" s="1" t="s">
        <v>561</v>
      </c>
      <c r="C32" s="1" t="s">
        <v>560</v>
      </c>
      <c r="D32" s="1" t="s">
        <v>556</v>
      </c>
      <c r="E32" s="3">
        <v>371</v>
      </c>
      <c r="F32" s="3">
        <v>0.10299999999999999</v>
      </c>
      <c r="G32" s="3">
        <v>8</v>
      </c>
      <c r="H32" s="3">
        <v>-157</v>
      </c>
      <c r="I32" s="3">
        <v>-164</v>
      </c>
      <c r="J32" s="3">
        <v>-163.69047619047626</v>
      </c>
      <c r="K32" s="1" t="s">
        <v>343</v>
      </c>
      <c r="L32" s="1" t="s">
        <v>344</v>
      </c>
      <c r="M32" s="1" t="s">
        <v>401</v>
      </c>
    </row>
    <row r="33" spans="1:13" ht="80">
      <c r="A33" s="1" t="s">
        <v>338</v>
      </c>
      <c r="B33" s="1" t="s">
        <v>561</v>
      </c>
      <c r="C33" s="1" t="s">
        <v>560</v>
      </c>
      <c r="D33" s="1" t="s">
        <v>556</v>
      </c>
      <c r="E33" s="3">
        <v>371</v>
      </c>
      <c r="F33" s="3">
        <v>0.127</v>
      </c>
      <c r="G33" s="3">
        <v>2</v>
      </c>
      <c r="H33" s="3">
        <v>-149</v>
      </c>
      <c r="I33" s="3">
        <v>-151</v>
      </c>
      <c r="J33" s="3">
        <v>-150.69860279441116</v>
      </c>
      <c r="K33" s="1" t="s">
        <v>343</v>
      </c>
      <c r="L33" s="1" t="s">
        <v>344</v>
      </c>
      <c r="M33" s="1" t="s">
        <v>401</v>
      </c>
    </row>
    <row r="34" spans="1:13" ht="80">
      <c r="A34" s="1" t="s">
        <v>338</v>
      </c>
      <c r="B34" s="1" t="s">
        <v>561</v>
      </c>
      <c r="C34" s="1" t="s">
        <v>560</v>
      </c>
      <c r="D34" s="1" t="s">
        <v>556</v>
      </c>
      <c r="E34" s="3">
        <v>371</v>
      </c>
      <c r="F34" s="3">
        <v>0.111</v>
      </c>
      <c r="G34" s="3">
        <v>-9</v>
      </c>
      <c r="H34" s="3">
        <v>-149</v>
      </c>
      <c r="I34" s="3">
        <v>-141</v>
      </c>
      <c r="J34" s="3">
        <v>-141.27144298688199</v>
      </c>
      <c r="K34" s="1" t="s">
        <v>343</v>
      </c>
      <c r="L34" s="1" t="s">
        <v>344</v>
      </c>
      <c r="M34" s="1" t="s">
        <v>401</v>
      </c>
    </row>
    <row r="35" spans="1:13" ht="80">
      <c r="A35" s="1" t="s">
        <v>338</v>
      </c>
      <c r="B35" s="1" t="s">
        <v>561</v>
      </c>
      <c r="C35" s="1" t="s">
        <v>560</v>
      </c>
      <c r="D35" s="1" t="s">
        <v>556</v>
      </c>
      <c r="E35" s="3">
        <v>371</v>
      </c>
      <c r="F35" s="3">
        <v>0.18099999999999999</v>
      </c>
      <c r="G35" s="3">
        <v>8</v>
      </c>
      <c r="H35" s="3">
        <v>-142</v>
      </c>
      <c r="I35" s="3">
        <v>-149</v>
      </c>
      <c r="J35" s="3">
        <v>-148.80952380952382</v>
      </c>
      <c r="K35" s="1" t="s">
        <v>343</v>
      </c>
      <c r="L35" s="1" t="s">
        <v>344</v>
      </c>
      <c r="M35" s="1" t="s">
        <v>401</v>
      </c>
    </row>
    <row r="36" spans="1:13" ht="80">
      <c r="A36" s="1" t="s">
        <v>338</v>
      </c>
      <c r="B36" s="1" t="s">
        <v>561</v>
      </c>
      <c r="C36" s="1" t="s">
        <v>560</v>
      </c>
      <c r="D36" s="1" t="s">
        <v>556</v>
      </c>
      <c r="E36" s="3">
        <v>371</v>
      </c>
      <c r="F36" s="3">
        <v>9.6000000000000002E-2</v>
      </c>
      <c r="G36" s="3">
        <v>7</v>
      </c>
      <c r="H36" s="3">
        <v>-144</v>
      </c>
      <c r="I36" s="3">
        <v>-150</v>
      </c>
      <c r="J36" s="3">
        <v>-149.95034756703075</v>
      </c>
      <c r="K36" s="1" t="s">
        <v>343</v>
      </c>
      <c r="L36" s="1" t="s">
        <v>344</v>
      </c>
      <c r="M36" s="1" t="s">
        <v>401</v>
      </c>
    </row>
    <row r="37" spans="1:13" ht="80">
      <c r="A37" s="1" t="s">
        <v>338</v>
      </c>
      <c r="B37" s="1" t="s">
        <v>561</v>
      </c>
      <c r="C37" s="1" t="s">
        <v>560</v>
      </c>
      <c r="D37" s="1" t="s">
        <v>556</v>
      </c>
      <c r="E37" s="3">
        <v>371</v>
      </c>
      <c r="F37" s="3">
        <v>0.08</v>
      </c>
      <c r="G37" s="3">
        <v>5</v>
      </c>
      <c r="H37" s="3">
        <v>-145</v>
      </c>
      <c r="I37" s="3">
        <v>-149</v>
      </c>
      <c r="J37" s="3">
        <v>-149.25373134328345</v>
      </c>
      <c r="K37" s="1" t="s">
        <v>343</v>
      </c>
      <c r="L37" s="1" t="s">
        <v>344</v>
      </c>
      <c r="M37" s="1" t="s">
        <v>401</v>
      </c>
    </row>
    <row r="38" spans="1:13" ht="80">
      <c r="A38" s="1" t="s">
        <v>338</v>
      </c>
      <c r="B38" s="1" t="s">
        <v>561</v>
      </c>
      <c r="C38" s="1" t="s">
        <v>560</v>
      </c>
      <c r="D38" s="1" t="s">
        <v>556</v>
      </c>
      <c r="E38" s="3">
        <v>371</v>
      </c>
      <c r="F38" s="3">
        <v>0.252</v>
      </c>
      <c r="G38" s="3">
        <v>-22</v>
      </c>
      <c r="H38" s="3">
        <v>-147</v>
      </c>
      <c r="I38" s="3">
        <v>-127</v>
      </c>
      <c r="J38" s="3">
        <v>-127.8118609406953</v>
      </c>
      <c r="K38" s="1" t="s">
        <v>343</v>
      </c>
      <c r="L38" s="1" t="s">
        <v>344</v>
      </c>
      <c r="M38" s="1" t="s">
        <v>401</v>
      </c>
    </row>
    <row r="39" spans="1:13" ht="80">
      <c r="A39" s="1" t="s">
        <v>338</v>
      </c>
      <c r="B39" s="1" t="s">
        <v>562</v>
      </c>
      <c r="C39" s="1" t="s">
        <v>563</v>
      </c>
      <c r="D39" s="1" t="s">
        <v>556</v>
      </c>
      <c r="E39" s="3">
        <v>371</v>
      </c>
      <c r="F39" s="3">
        <v>0.6</v>
      </c>
      <c r="G39" s="3">
        <v>-15</v>
      </c>
      <c r="H39" s="3">
        <v>-123</v>
      </c>
      <c r="I39" s="3">
        <v>-110</v>
      </c>
      <c r="J39" s="3">
        <v>-109.64467005076139</v>
      </c>
      <c r="K39" s="1" t="s">
        <v>343</v>
      </c>
      <c r="L39" s="1" t="s">
        <v>344</v>
      </c>
      <c r="M39" s="1" t="s">
        <v>401</v>
      </c>
    </row>
    <row r="40" spans="1:13" ht="80">
      <c r="A40" s="1" t="s">
        <v>338</v>
      </c>
      <c r="B40" s="1" t="s">
        <v>562</v>
      </c>
      <c r="C40" s="1" t="s">
        <v>563</v>
      </c>
      <c r="D40" s="1" t="s">
        <v>556</v>
      </c>
      <c r="E40" s="3">
        <v>371</v>
      </c>
      <c r="F40" s="3">
        <v>0.58899999999999997</v>
      </c>
      <c r="G40" s="3">
        <v>-22</v>
      </c>
      <c r="H40" s="3">
        <v>-134</v>
      </c>
      <c r="I40" s="3">
        <v>-115</v>
      </c>
      <c r="J40" s="3">
        <v>-114.51942740286303</v>
      </c>
      <c r="K40" s="1" t="s">
        <v>343</v>
      </c>
      <c r="L40" s="1" t="s">
        <v>344</v>
      </c>
      <c r="M40" s="1" t="s">
        <v>401</v>
      </c>
    </row>
    <row r="41" spans="1:13" ht="80">
      <c r="A41" s="1" t="s">
        <v>338</v>
      </c>
      <c r="B41" s="1" t="s">
        <v>562</v>
      </c>
      <c r="C41" s="1" t="s">
        <v>563</v>
      </c>
      <c r="D41" s="1" t="s">
        <v>556</v>
      </c>
      <c r="E41" s="3">
        <v>371</v>
      </c>
      <c r="F41" s="3">
        <v>0.65</v>
      </c>
      <c r="G41" s="3">
        <v>-22</v>
      </c>
      <c r="H41" s="3">
        <v>-154</v>
      </c>
      <c r="I41" s="3">
        <v>-135</v>
      </c>
      <c r="J41" s="3">
        <v>-134.96932515337423</v>
      </c>
      <c r="K41" s="1" t="s">
        <v>343</v>
      </c>
      <c r="L41" s="1" t="s">
        <v>344</v>
      </c>
      <c r="M41" s="1" t="s">
        <v>401</v>
      </c>
    </row>
    <row r="42" spans="1:13" ht="80">
      <c r="A42" s="1" t="s">
        <v>338</v>
      </c>
      <c r="B42" s="1" t="s">
        <v>562</v>
      </c>
      <c r="C42" s="1" t="s">
        <v>563</v>
      </c>
      <c r="D42" s="1" t="s">
        <v>556</v>
      </c>
      <c r="E42" s="3">
        <v>371</v>
      </c>
      <c r="F42" s="3">
        <v>0.432</v>
      </c>
      <c r="G42" s="3">
        <v>-19</v>
      </c>
      <c r="H42" s="3">
        <v>-124</v>
      </c>
      <c r="I42" s="3">
        <v>-107</v>
      </c>
      <c r="J42" s="3">
        <v>-107.03363914373088</v>
      </c>
      <c r="K42" s="1" t="s">
        <v>343</v>
      </c>
      <c r="L42" s="1" t="s">
        <v>344</v>
      </c>
      <c r="M42" s="1" t="s">
        <v>401</v>
      </c>
    </row>
    <row r="43" spans="1:13" ht="80">
      <c r="A43" s="1" t="s">
        <v>338</v>
      </c>
      <c r="B43" s="1" t="s">
        <v>562</v>
      </c>
      <c r="C43" s="1" t="s">
        <v>563</v>
      </c>
      <c r="D43" s="1" t="s">
        <v>556</v>
      </c>
      <c r="E43" s="3">
        <v>371</v>
      </c>
      <c r="F43" s="3">
        <v>0.75700000000000001</v>
      </c>
      <c r="G43" s="3">
        <v>-23</v>
      </c>
      <c r="H43" s="3">
        <v>-134</v>
      </c>
      <c r="I43" s="3">
        <v>-113</v>
      </c>
      <c r="J43" s="3">
        <v>-113.61310133060387</v>
      </c>
      <c r="K43" s="1" t="s">
        <v>343</v>
      </c>
      <c r="L43" s="1" t="s">
        <v>344</v>
      </c>
      <c r="M43" s="1" t="s">
        <v>401</v>
      </c>
    </row>
    <row r="44" spans="1:13" ht="80">
      <c r="A44" s="1" t="s">
        <v>338</v>
      </c>
      <c r="B44" s="1" t="s">
        <v>562</v>
      </c>
      <c r="C44" s="1" t="s">
        <v>563</v>
      </c>
      <c r="D44" s="1" t="s">
        <v>556</v>
      </c>
      <c r="E44" s="3">
        <v>371</v>
      </c>
      <c r="F44" s="3">
        <v>0.71299999999999997</v>
      </c>
      <c r="G44" s="3">
        <v>-19</v>
      </c>
      <c r="H44" s="3">
        <v>-151</v>
      </c>
      <c r="I44" s="3">
        <v>-134</v>
      </c>
      <c r="J44" s="3">
        <v>-134.55657492354746</v>
      </c>
      <c r="K44" s="1" t="s">
        <v>343</v>
      </c>
      <c r="L44" s="1" t="s">
        <v>344</v>
      </c>
      <c r="M44" s="1" t="s">
        <v>401</v>
      </c>
    </row>
    <row r="45" spans="1:13">
      <c r="E45" s="4"/>
      <c r="F45" s="4"/>
      <c r="G45" s="4"/>
      <c r="H45" s="4"/>
      <c r="I45" s="4"/>
      <c r="J45" s="4"/>
    </row>
    <row r="46" spans="1:13">
      <c r="E46" s="4"/>
      <c r="F46" s="4"/>
      <c r="G46" s="4"/>
      <c r="H46" s="4"/>
      <c r="I46" s="4"/>
      <c r="J46" s="4"/>
    </row>
    <row r="47" spans="1:13">
      <c r="E47" s="4"/>
      <c r="F47" s="4"/>
      <c r="G47" s="4"/>
      <c r="H47" s="4"/>
      <c r="I47" s="4"/>
      <c r="J47" s="4"/>
    </row>
    <row r="48" spans="1:13">
      <c r="E48" s="4"/>
      <c r="F48" s="4"/>
      <c r="G48" s="4"/>
      <c r="H48" s="4"/>
      <c r="I48" s="4"/>
      <c r="J48" s="4"/>
    </row>
    <row r="49" spans="5:10">
      <c r="E49" s="4"/>
      <c r="F49" s="4"/>
      <c r="G49" s="4"/>
      <c r="H49" s="4"/>
      <c r="I49" s="4"/>
      <c r="J49" s="4"/>
    </row>
    <row r="50" spans="5:10">
      <c r="E50" s="4"/>
      <c r="F50" s="4"/>
      <c r="G50" s="4"/>
      <c r="H50" s="4"/>
      <c r="I50" s="4"/>
      <c r="J50" s="4"/>
    </row>
    <row r="51" spans="5:10">
      <c r="E51" s="4"/>
      <c r="F51" s="4"/>
      <c r="G51" s="4"/>
      <c r="H51" s="4"/>
      <c r="I51" s="4"/>
      <c r="J51" s="4"/>
    </row>
    <row r="52" spans="5:10">
      <c r="E52" s="4"/>
      <c r="F52" s="4"/>
      <c r="G52" s="4"/>
      <c r="H52" s="4"/>
      <c r="I52" s="4"/>
      <c r="J52" s="4"/>
    </row>
    <row r="53" spans="5:10">
      <c r="E53" s="4"/>
      <c r="F53" s="4"/>
      <c r="G53" s="4"/>
      <c r="H53" s="4"/>
      <c r="I53" s="4"/>
      <c r="J53" s="4"/>
    </row>
    <row r="54" spans="5:10">
      <c r="E54" s="4"/>
      <c r="F54" s="4"/>
      <c r="G54" s="4"/>
      <c r="H54" s="4"/>
      <c r="I54" s="4"/>
      <c r="J54" s="4"/>
    </row>
    <row r="55" spans="5:10">
      <c r="E55" s="4"/>
      <c r="F55" s="4"/>
      <c r="G55" s="4"/>
      <c r="H55" s="4"/>
      <c r="I55" s="4"/>
      <c r="J55" s="4"/>
    </row>
    <row r="56" spans="5:10">
      <c r="E56" s="4"/>
      <c r="F56" s="4"/>
      <c r="G56" s="4"/>
      <c r="H56" s="4"/>
      <c r="I56" s="4"/>
      <c r="J56" s="4"/>
    </row>
    <row r="57" spans="5:10">
      <c r="E57" s="4"/>
      <c r="F57" s="4"/>
      <c r="G57" s="4"/>
      <c r="H57" s="4"/>
      <c r="I57" s="4"/>
      <c r="J57" s="4"/>
    </row>
    <row r="58" spans="5:10">
      <c r="E58" s="4"/>
      <c r="F58" s="4"/>
      <c r="G58" s="4"/>
      <c r="H58" s="4"/>
      <c r="I58" s="4"/>
      <c r="J58" s="4"/>
    </row>
    <row r="59" spans="5:10">
      <c r="E59" s="4"/>
      <c r="F59" s="4"/>
      <c r="G59" s="4"/>
      <c r="H59" s="4"/>
      <c r="I59" s="4"/>
      <c r="J59" s="4"/>
    </row>
    <row r="60" spans="5:10">
      <c r="E60" s="4"/>
      <c r="F60" s="4"/>
      <c r="G60" s="4"/>
      <c r="H60" s="4"/>
      <c r="I60" s="4"/>
      <c r="J60" s="4"/>
    </row>
    <row r="61" spans="5:10">
      <c r="E61" s="4"/>
      <c r="F61" s="4"/>
      <c r="G61" s="4"/>
      <c r="H61" s="4"/>
      <c r="I61" s="4"/>
      <c r="J61" s="4"/>
    </row>
    <row r="62" spans="5:10">
      <c r="E62" s="4"/>
      <c r="F62" s="4"/>
      <c r="G62" s="4"/>
      <c r="H62" s="4"/>
      <c r="I62" s="4"/>
      <c r="J62" s="4"/>
    </row>
    <row r="63" spans="5:10">
      <c r="E63" s="4"/>
      <c r="F63" s="4"/>
      <c r="G63" s="4"/>
      <c r="H63" s="4"/>
      <c r="I63" s="4"/>
      <c r="J63" s="4"/>
    </row>
    <row r="64" spans="5:10">
      <c r="E64" s="4"/>
      <c r="F64" s="4"/>
      <c r="G64" s="4"/>
      <c r="H64" s="4"/>
      <c r="I64" s="4"/>
      <c r="J64" s="4"/>
    </row>
    <row r="65" spans="5:10">
      <c r="E65" s="4"/>
      <c r="F65" s="4"/>
      <c r="G65" s="4"/>
      <c r="H65" s="4"/>
      <c r="I65" s="4"/>
      <c r="J65" s="4"/>
    </row>
    <row r="66" spans="5:10">
      <c r="E66" s="4"/>
      <c r="F66" s="4"/>
      <c r="G66" s="4"/>
      <c r="H66" s="4"/>
      <c r="I66" s="4"/>
      <c r="J66" s="4"/>
    </row>
    <row r="67" spans="5:10">
      <c r="E67" s="4"/>
      <c r="F67" s="4"/>
      <c r="G67" s="4"/>
      <c r="H67" s="4"/>
      <c r="I67" s="4"/>
      <c r="J67" s="4"/>
    </row>
    <row r="68" spans="5:10">
      <c r="E68" s="4"/>
      <c r="F68" s="4"/>
      <c r="G68" s="4"/>
      <c r="H68" s="4"/>
      <c r="I68" s="4"/>
      <c r="J68" s="4"/>
    </row>
    <row r="69" spans="5:10">
      <c r="E69" s="4"/>
      <c r="F69" s="4"/>
      <c r="G69" s="4"/>
      <c r="H69" s="4"/>
      <c r="I69" s="4"/>
      <c r="J69" s="4"/>
    </row>
    <row r="70" spans="5:10">
      <c r="E70" s="4"/>
      <c r="F70" s="4"/>
      <c r="G70" s="4"/>
      <c r="H70" s="4"/>
      <c r="I70" s="4"/>
      <c r="J70" s="4"/>
    </row>
    <row r="71" spans="5:10">
      <c r="E71" s="4"/>
      <c r="F71" s="4"/>
      <c r="G71" s="4"/>
      <c r="H71" s="4"/>
      <c r="I71" s="4"/>
      <c r="J71" s="4"/>
    </row>
    <row r="72" spans="5:10">
      <c r="E72" s="4"/>
      <c r="F72" s="4"/>
      <c r="G72" s="4"/>
      <c r="H72" s="4"/>
      <c r="I72" s="4"/>
      <c r="J72" s="4"/>
    </row>
    <row r="73" spans="5:10">
      <c r="E73" s="4"/>
      <c r="F73" s="4"/>
      <c r="G73" s="4"/>
      <c r="H73" s="4"/>
      <c r="I73" s="4"/>
      <c r="J73" s="4"/>
    </row>
    <row r="74" spans="5:10">
      <c r="E74" s="4"/>
      <c r="F74" s="4"/>
      <c r="G74" s="4"/>
      <c r="H74" s="4"/>
      <c r="I74" s="4"/>
      <c r="J74" s="4"/>
    </row>
    <row r="75" spans="5:10">
      <c r="E75" s="4"/>
      <c r="F75" s="4"/>
      <c r="G75" s="4"/>
      <c r="H75" s="4"/>
      <c r="I75" s="4"/>
      <c r="J75" s="4"/>
    </row>
    <row r="76" spans="5:10">
      <c r="E76" s="4"/>
      <c r="F76" s="4"/>
      <c r="G76" s="4"/>
      <c r="H76" s="4"/>
      <c r="I76" s="4"/>
      <c r="J76" s="4"/>
    </row>
    <row r="77" spans="5:10">
      <c r="E77" s="4"/>
      <c r="F77" s="4"/>
      <c r="G77" s="4"/>
      <c r="H77" s="4"/>
      <c r="I77" s="4"/>
      <c r="J77" s="4"/>
    </row>
    <row r="78" spans="5:10">
      <c r="E78" s="4"/>
      <c r="F78" s="4"/>
      <c r="G78" s="4"/>
      <c r="H78" s="4"/>
      <c r="I78" s="4"/>
      <c r="J78" s="4"/>
    </row>
    <row r="79" spans="5:10">
      <c r="E79" s="4"/>
      <c r="F79" s="4"/>
      <c r="G79" s="4"/>
      <c r="H79" s="4"/>
      <c r="I79" s="4"/>
      <c r="J79" s="4"/>
    </row>
    <row r="80" spans="5:10">
      <c r="E80" s="4"/>
      <c r="F80" s="4"/>
      <c r="G80" s="4"/>
      <c r="H80" s="4"/>
      <c r="I80" s="4"/>
      <c r="J80" s="4"/>
    </row>
    <row r="81" spans="5:10">
      <c r="E81" s="4"/>
      <c r="F81" s="4"/>
      <c r="G81" s="4"/>
      <c r="H81" s="4"/>
      <c r="I81" s="4"/>
      <c r="J81" s="4"/>
    </row>
    <row r="82" spans="5:10">
      <c r="E82" s="4"/>
      <c r="F82" s="4"/>
      <c r="G82" s="4"/>
      <c r="H82" s="4"/>
      <c r="I82" s="4"/>
      <c r="J82" s="4"/>
    </row>
    <row r="83" spans="5:10">
      <c r="E83" s="4"/>
      <c r="F83" s="4"/>
      <c r="G83" s="4"/>
      <c r="H83" s="4"/>
      <c r="I83" s="4"/>
      <c r="J83" s="4"/>
    </row>
    <row r="84" spans="5:10">
      <c r="E84" s="4"/>
      <c r="F84" s="4"/>
      <c r="G84" s="4"/>
      <c r="H84" s="4"/>
      <c r="I84" s="4"/>
      <c r="J84" s="4"/>
    </row>
    <row r="85" spans="5:10">
      <c r="E85" s="4"/>
      <c r="F85" s="4"/>
      <c r="G85" s="4"/>
      <c r="H85" s="4"/>
      <c r="I85" s="4"/>
      <c r="J85" s="4"/>
    </row>
    <row r="86" spans="5:10">
      <c r="E86" s="4"/>
      <c r="F86" s="4"/>
      <c r="G86" s="4"/>
      <c r="H86" s="4"/>
      <c r="I86" s="4"/>
      <c r="J86" s="4"/>
    </row>
    <row r="87" spans="5:10">
      <c r="E87" s="4"/>
      <c r="F87" s="4"/>
      <c r="G87" s="4"/>
      <c r="H87" s="4"/>
      <c r="I87" s="4"/>
      <c r="J87" s="4"/>
    </row>
    <row r="88" spans="5:10">
      <c r="E88" s="4"/>
      <c r="F88" s="4"/>
      <c r="G88" s="4"/>
      <c r="H88" s="4"/>
      <c r="I88" s="4"/>
      <c r="J88" s="4"/>
    </row>
    <row r="89" spans="5:10">
      <c r="E89" s="4"/>
      <c r="F89" s="4"/>
      <c r="G89" s="4"/>
      <c r="H89" s="4"/>
      <c r="I89" s="4"/>
      <c r="J89" s="4"/>
    </row>
    <row r="90" spans="5:10">
      <c r="E90" s="4"/>
      <c r="F90" s="4"/>
      <c r="G90" s="4"/>
      <c r="H90" s="4"/>
      <c r="I90" s="4"/>
      <c r="J90" s="4"/>
    </row>
    <row r="91" spans="5:10">
      <c r="E91" s="4"/>
      <c r="F91" s="4"/>
      <c r="G91" s="4"/>
      <c r="H91" s="4"/>
      <c r="I91" s="4"/>
      <c r="J91" s="4"/>
    </row>
    <row r="92" spans="5:10">
      <c r="E92" s="4"/>
      <c r="F92" s="4"/>
      <c r="G92" s="4"/>
      <c r="H92" s="4"/>
      <c r="I92" s="4"/>
      <c r="J92" s="4"/>
    </row>
    <row r="93" spans="5:10">
      <c r="E93" s="4"/>
      <c r="F93" s="4"/>
      <c r="G93" s="4"/>
      <c r="H93" s="4"/>
      <c r="I93" s="4"/>
      <c r="J93" s="4"/>
    </row>
    <row r="94" spans="5:10">
      <c r="E94" s="4"/>
      <c r="F94" s="4"/>
      <c r="G94" s="4"/>
      <c r="H94" s="4"/>
      <c r="I94" s="4"/>
      <c r="J94" s="4"/>
    </row>
    <row r="95" spans="5:10">
      <c r="E95" s="4"/>
      <c r="F95" s="4"/>
      <c r="G95" s="4"/>
      <c r="H95" s="4"/>
      <c r="I95" s="4"/>
      <c r="J95" s="4"/>
    </row>
    <row r="96" spans="5:10">
      <c r="E96" s="4"/>
      <c r="F96" s="4"/>
      <c r="G96" s="4"/>
      <c r="H96" s="4"/>
      <c r="I96" s="4"/>
      <c r="J96" s="4"/>
    </row>
    <row r="97" spans="5:10">
      <c r="E97" s="4"/>
      <c r="F97" s="4"/>
      <c r="G97" s="4"/>
      <c r="H97" s="4"/>
      <c r="I97" s="4"/>
      <c r="J97" s="4"/>
    </row>
    <row r="98" spans="5:10">
      <c r="E98" s="4"/>
      <c r="F98" s="4"/>
      <c r="G98" s="4"/>
      <c r="H98" s="4"/>
      <c r="I98" s="4"/>
      <c r="J98" s="4"/>
    </row>
    <row r="99" spans="5:10">
      <c r="E99" s="4"/>
      <c r="F99" s="4"/>
      <c r="G99" s="4"/>
      <c r="H99" s="4"/>
      <c r="I99" s="4"/>
      <c r="J99" s="4"/>
    </row>
    <row r="100" spans="5:10">
      <c r="E100" s="4"/>
      <c r="F100" s="4"/>
      <c r="G100" s="4"/>
      <c r="H100" s="4"/>
      <c r="I100" s="4"/>
      <c r="J100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"/>
  <sheetViews>
    <sheetView workbookViewId="0">
      <selection activeCell="R3" sqref="R3"/>
    </sheetView>
  </sheetViews>
  <sheetFormatPr baseColWidth="10" defaultColWidth="8.83203125" defaultRowHeight="15"/>
  <cols>
    <col min="1" max="1" width="16" customWidth="1"/>
    <col min="2" max="2" width="30" customWidth="1"/>
    <col min="3" max="11" width="16" customWidth="1"/>
    <col min="12" max="13" width="40" customWidth="1"/>
  </cols>
  <sheetData>
    <row r="1" spans="1:13" ht="48">
      <c r="A1" s="2" t="s">
        <v>30</v>
      </c>
      <c r="B1" s="2" t="s">
        <v>280</v>
      </c>
      <c r="C1" s="2" t="s">
        <v>564</v>
      </c>
      <c r="D1" s="2" t="s">
        <v>547</v>
      </c>
      <c r="E1" s="2" t="s">
        <v>565</v>
      </c>
      <c r="F1" s="2" t="s">
        <v>545</v>
      </c>
      <c r="G1" s="2" t="s">
        <v>546</v>
      </c>
      <c r="H1" s="2" t="s">
        <v>42</v>
      </c>
      <c r="I1" s="2" t="s">
        <v>566</v>
      </c>
      <c r="J1" s="2" t="s">
        <v>550</v>
      </c>
      <c r="K1" s="2" t="s">
        <v>56</v>
      </c>
      <c r="L1" s="2" t="s">
        <v>57</v>
      </c>
      <c r="M1" s="2" t="s">
        <v>58</v>
      </c>
    </row>
    <row r="2" spans="1:13" ht="80">
      <c r="A2" s="1" t="s">
        <v>338</v>
      </c>
      <c r="B2" s="1" t="s">
        <v>567</v>
      </c>
      <c r="C2" s="1" t="s">
        <v>568</v>
      </c>
      <c r="D2" s="3">
        <v>384</v>
      </c>
      <c r="E2" s="3" t="s">
        <v>569</v>
      </c>
      <c r="F2" s="3" t="s">
        <v>570</v>
      </c>
      <c r="G2" s="3" t="s">
        <v>556</v>
      </c>
      <c r="H2" s="3">
        <v>-24</v>
      </c>
      <c r="I2" s="3">
        <v>-159</v>
      </c>
      <c r="J2" s="3">
        <v>-138.3196721311476</v>
      </c>
      <c r="K2" s="1" t="s">
        <v>343</v>
      </c>
      <c r="L2" s="1" t="s">
        <v>344</v>
      </c>
      <c r="M2" s="1" t="s">
        <v>401</v>
      </c>
    </row>
    <row r="3" spans="1:13" ht="80">
      <c r="A3" s="1" t="s">
        <v>338</v>
      </c>
      <c r="B3" s="1" t="s">
        <v>571</v>
      </c>
      <c r="C3" s="1" t="s">
        <v>568</v>
      </c>
      <c r="D3" s="3">
        <v>384</v>
      </c>
      <c r="E3" s="3" t="s">
        <v>569</v>
      </c>
      <c r="F3" s="3" t="s">
        <v>572</v>
      </c>
      <c r="G3" s="3" t="s">
        <v>556</v>
      </c>
      <c r="H3" s="3">
        <v>-18</v>
      </c>
      <c r="I3" s="3"/>
      <c r="J3" s="3"/>
      <c r="K3" s="1" t="s">
        <v>343</v>
      </c>
      <c r="L3" s="1" t="s">
        <v>344</v>
      </c>
      <c r="M3" s="1" t="s">
        <v>401</v>
      </c>
    </row>
    <row r="4" spans="1:13" ht="80">
      <c r="A4" s="1" t="s">
        <v>338</v>
      </c>
      <c r="B4" s="1" t="s">
        <v>573</v>
      </c>
      <c r="C4" s="1" t="s">
        <v>568</v>
      </c>
      <c r="D4" s="3">
        <v>384</v>
      </c>
      <c r="E4" s="3" t="s">
        <v>574</v>
      </c>
      <c r="F4" s="3" t="s">
        <v>560</v>
      </c>
      <c r="G4" s="3" t="s">
        <v>556</v>
      </c>
      <c r="H4" s="3">
        <v>-7</v>
      </c>
      <c r="I4" s="3">
        <v>-173</v>
      </c>
      <c r="J4" s="3">
        <v>-167.17019133937572</v>
      </c>
      <c r="K4" s="1" t="s">
        <v>343</v>
      </c>
      <c r="L4" s="1" t="s">
        <v>344</v>
      </c>
      <c r="M4" s="1" t="s">
        <v>401</v>
      </c>
    </row>
    <row r="5" spans="1:13" ht="80">
      <c r="A5" s="1" t="s">
        <v>338</v>
      </c>
      <c r="B5" s="1" t="s">
        <v>575</v>
      </c>
      <c r="C5" s="1" t="s">
        <v>568</v>
      </c>
      <c r="D5" s="3">
        <v>384</v>
      </c>
      <c r="E5" s="3" t="s">
        <v>576</v>
      </c>
      <c r="F5" s="3" t="s">
        <v>577</v>
      </c>
      <c r="G5" s="3" t="s">
        <v>556</v>
      </c>
      <c r="H5" s="3">
        <v>-26</v>
      </c>
      <c r="I5" s="3">
        <v>-173</v>
      </c>
      <c r="J5" s="3">
        <v>-150.92402464065714</v>
      </c>
      <c r="K5" s="1" t="s">
        <v>343</v>
      </c>
      <c r="L5" s="1" t="s">
        <v>344</v>
      </c>
      <c r="M5" s="1" t="s">
        <v>401</v>
      </c>
    </row>
    <row r="6" spans="1:13" ht="80">
      <c r="A6" s="1" t="s">
        <v>338</v>
      </c>
      <c r="B6" s="1" t="s">
        <v>578</v>
      </c>
      <c r="C6" s="1" t="s">
        <v>568</v>
      </c>
      <c r="D6" s="3">
        <v>384</v>
      </c>
      <c r="E6" s="3" t="s">
        <v>576</v>
      </c>
      <c r="F6" s="3" t="s">
        <v>579</v>
      </c>
      <c r="G6" s="3" t="s">
        <v>556</v>
      </c>
      <c r="H6" s="3">
        <v>-6</v>
      </c>
      <c r="I6" s="3">
        <v>-169</v>
      </c>
      <c r="J6" s="3">
        <v>-163.98390342052315</v>
      </c>
      <c r="K6" s="1" t="s">
        <v>343</v>
      </c>
      <c r="L6" s="1" t="s">
        <v>344</v>
      </c>
      <c r="M6" s="1" t="s">
        <v>401</v>
      </c>
    </row>
    <row r="7" spans="1:13" ht="80">
      <c r="A7" s="1" t="s">
        <v>338</v>
      </c>
      <c r="B7" s="1" t="s">
        <v>580</v>
      </c>
      <c r="C7" s="1" t="s">
        <v>568</v>
      </c>
      <c r="D7" s="3">
        <v>384</v>
      </c>
      <c r="E7" s="3" t="s">
        <v>576</v>
      </c>
      <c r="F7" s="3" t="s">
        <v>581</v>
      </c>
      <c r="G7" s="3" t="s">
        <v>556</v>
      </c>
      <c r="H7" s="3">
        <v>-15</v>
      </c>
      <c r="I7" s="3">
        <v>-164</v>
      </c>
      <c r="J7" s="3">
        <v>-151.26903553299499</v>
      </c>
      <c r="K7" s="1" t="s">
        <v>343</v>
      </c>
      <c r="L7" s="1" t="s">
        <v>344</v>
      </c>
      <c r="M7" s="1" t="s">
        <v>401</v>
      </c>
    </row>
    <row r="8" spans="1:13" ht="80">
      <c r="A8" s="1" t="s">
        <v>338</v>
      </c>
      <c r="B8" s="1" t="s">
        <v>582</v>
      </c>
      <c r="C8" s="1" t="s">
        <v>568</v>
      </c>
      <c r="D8" s="3">
        <v>384</v>
      </c>
      <c r="E8" s="3" t="s">
        <v>583</v>
      </c>
      <c r="F8" s="3" t="s">
        <v>577</v>
      </c>
      <c r="G8" s="3" t="s">
        <v>556</v>
      </c>
      <c r="H8" s="3">
        <v>-17</v>
      </c>
      <c r="I8" s="3">
        <v>-156</v>
      </c>
      <c r="J8" s="3">
        <v>-141.40386571719233</v>
      </c>
      <c r="K8" s="1" t="s">
        <v>343</v>
      </c>
      <c r="L8" s="1" t="s">
        <v>344</v>
      </c>
      <c r="M8" s="1" t="s">
        <v>401</v>
      </c>
    </row>
    <row r="9" spans="1:13" ht="80">
      <c r="A9" s="1" t="s">
        <v>338</v>
      </c>
      <c r="B9" s="1" t="s">
        <v>584</v>
      </c>
      <c r="C9" s="1" t="s">
        <v>585</v>
      </c>
      <c r="D9" s="3">
        <v>619</v>
      </c>
      <c r="E9" s="3" t="s">
        <v>576</v>
      </c>
      <c r="F9" s="3" t="s">
        <v>563</v>
      </c>
      <c r="G9" s="3" t="s">
        <v>556</v>
      </c>
      <c r="H9" s="3">
        <v>-38</v>
      </c>
      <c r="I9" s="3">
        <v>-154</v>
      </c>
      <c r="J9" s="3">
        <v>-120.5821205821206</v>
      </c>
      <c r="K9" s="1" t="s">
        <v>343</v>
      </c>
      <c r="L9" s="1" t="s">
        <v>344</v>
      </c>
      <c r="M9" s="1" t="s">
        <v>401</v>
      </c>
    </row>
    <row r="10" spans="1:13" ht="80">
      <c r="A10" s="1" t="s">
        <v>338</v>
      </c>
      <c r="B10" s="1" t="s">
        <v>586</v>
      </c>
      <c r="C10" s="1" t="s">
        <v>585</v>
      </c>
      <c r="D10" s="3">
        <v>619</v>
      </c>
      <c r="E10" s="3" t="s">
        <v>576</v>
      </c>
      <c r="F10" s="3" t="s">
        <v>563</v>
      </c>
      <c r="G10" s="3" t="s">
        <v>556</v>
      </c>
      <c r="H10" s="3">
        <v>-47</v>
      </c>
      <c r="I10" s="3">
        <v>-157</v>
      </c>
      <c r="J10" s="3">
        <v>-115.42497376705141</v>
      </c>
      <c r="K10" s="1" t="s">
        <v>343</v>
      </c>
      <c r="L10" s="1" t="s">
        <v>344</v>
      </c>
      <c r="M10" s="1" t="s">
        <v>401</v>
      </c>
    </row>
    <row r="11" spans="1:13" ht="80">
      <c r="A11" s="1" t="s">
        <v>338</v>
      </c>
      <c r="B11" s="1" t="s">
        <v>587</v>
      </c>
      <c r="C11" s="1" t="s">
        <v>585</v>
      </c>
      <c r="D11" s="3">
        <v>619</v>
      </c>
      <c r="E11" s="3" t="s">
        <v>576</v>
      </c>
      <c r="F11" s="3" t="s">
        <v>563</v>
      </c>
      <c r="G11" s="3" t="s">
        <v>556</v>
      </c>
      <c r="H11" s="3">
        <v>-38</v>
      </c>
      <c r="I11" s="3">
        <v>-161</v>
      </c>
      <c r="J11" s="3">
        <v>-127.8586278586279</v>
      </c>
      <c r="K11" s="1" t="s">
        <v>343</v>
      </c>
      <c r="L11" s="1" t="s">
        <v>344</v>
      </c>
      <c r="M11" s="1" t="s">
        <v>401</v>
      </c>
    </row>
    <row r="12" spans="1:13" ht="80">
      <c r="A12" s="1" t="s">
        <v>338</v>
      </c>
      <c r="B12" s="1" t="s">
        <v>588</v>
      </c>
      <c r="C12" s="1" t="s">
        <v>585</v>
      </c>
      <c r="D12" s="3">
        <v>619</v>
      </c>
      <c r="E12" s="3" t="s">
        <v>576</v>
      </c>
      <c r="F12" s="3" t="s">
        <v>563</v>
      </c>
      <c r="G12" s="3" t="s">
        <v>556</v>
      </c>
      <c r="H12" s="3">
        <v>-47</v>
      </c>
      <c r="I12" s="3">
        <v>-150</v>
      </c>
      <c r="J12" s="3">
        <v>-108.07974816369359</v>
      </c>
      <c r="K12" s="1" t="s">
        <v>343</v>
      </c>
      <c r="L12" s="1" t="s">
        <v>344</v>
      </c>
      <c r="M12" s="1" t="s">
        <v>401</v>
      </c>
    </row>
    <row r="13" spans="1:13" ht="80">
      <c r="A13" s="1" t="s">
        <v>338</v>
      </c>
      <c r="B13" s="1" t="s">
        <v>589</v>
      </c>
      <c r="C13" s="1" t="s">
        <v>585</v>
      </c>
      <c r="D13" s="3">
        <v>619</v>
      </c>
      <c r="E13" s="3" t="s">
        <v>576</v>
      </c>
      <c r="F13" s="3" t="s">
        <v>590</v>
      </c>
      <c r="G13" s="3" t="s">
        <v>556</v>
      </c>
      <c r="H13" s="3">
        <v>-34</v>
      </c>
      <c r="I13" s="3">
        <v>-156</v>
      </c>
      <c r="J13" s="3">
        <v>-126.29399585921331</v>
      </c>
      <c r="K13" s="1" t="s">
        <v>343</v>
      </c>
      <c r="L13" s="1" t="s">
        <v>344</v>
      </c>
      <c r="M13" s="1" t="s">
        <v>401</v>
      </c>
    </row>
    <row r="14" spans="1:13" ht="80">
      <c r="A14" s="1" t="s">
        <v>338</v>
      </c>
      <c r="B14" s="1" t="s">
        <v>591</v>
      </c>
      <c r="C14" s="1" t="s">
        <v>585</v>
      </c>
      <c r="D14" s="3">
        <v>619</v>
      </c>
      <c r="E14" s="3" t="s">
        <v>576</v>
      </c>
      <c r="F14" s="3" t="s">
        <v>590</v>
      </c>
      <c r="G14" s="3" t="s">
        <v>556</v>
      </c>
      <c r="H14" s="3">
        <v>-36</v>
      </c>
      <c r="I14" s="3">
        <v>-172</v>
      </c>
      <c r="J14" s="3">
        <v>-141.07883817427381</v>
      </c>
      <c r="K14" s="1" t="s">
        <v>343</v>
      </c>
      <c r="L14" s="1" t="s">
        <v>344</v>
      </c>
      <c r="M14" s="1" t="s">
        <v>401</v>
      </c>
    </row>
    <row r="15" spans="1:13" ht="80">
      <c r="A15" s="1" t="s">
        <v>338</v>
      </c>
      <c r="B15" s="1" t="s">
        <v>592</v>
      </c>
      <c r="C15" s="1" t="s">
        <v>585</v>
      </c>
      <c r="D15" s="3">
        <v>619</v>
      </c>
      <c r="E15" s="3" t="s">
        <v>576</v>
      </c>
      <c r="F15" s="3" t="s">
        <v>590</v>
      </c>
      <c r="G15" s="3" t="s">
        <v>556</v>
      </c>
      <c r="H15" s="3">
        <v>-40</v>
      </c>
      <c r="I15" s="3">
        <v>-176</v>
      </c>
      <c r="J15" s="3">
        <v>-141.6666666666666</v>
      </c>
      <c r="K15" s="1" t="s">
        <v>343</v>
      </c>
      <c r="L15" s="1" t="s">
        <v>344</v>
      </c>
      <c r="M15" s="1" t="s">
        <v>401</v>
      </c>
    </row>
    <row r="16" spans="1:13" ht="80">
      <c r="A16" s="1" t="s">
        <v>338</v>
      </c>
      <c r="B16" s="1" t="s">
        <v>593</v>
      </c>
      <c r="C16" s="1" t="s">
        <v>585</v>
      </c>
      <c r="D16" s="3">
        <v>619</v>
      </c>
      <c r="E16" s="3" t="s">
        <v>569</v>
      </c>
      <c r="F16" s="3" t="s">
        <v>594</v>
      </c>
      <c r="G16" s="3" t="s">
        <v>556</v>
      </c>
      <c r="H16" s="3">
        <v>-30</v>
      </c>
      <c r="I16" s="3">
        <v>-172</v>
      </c>
      <c r="J16" s="3">
        <v>-146.39175257731952</v>
      </c>
      <c r="K16" s="1" t="s">
        <v>343</v>
      </c>
      <c r="L16" s="1" t="s">
        <v>344</v>
      </c>
      <c r="M16" s="1" t="s">
        <v>401</v>
      </c>
    </row>
    <row r="17" spans="1:13" ht="80">
      <c r="A17" s="1" t="s">
        <v>338</v>
      </c>
      <c r="B17" s="1" t="s">
        <v>595</v>
      </c>
      <c r="C17" s="1" t="s">
        <v>585</v>
      </c>
      <c r="D17" s="3">
        <v>619</v>
      </c>
      <c r="E17" s="3" t="s">
        <v>574</v>
      </c>
      <c r="F17" s="3" t="s">
        <v>560</v>
      </c>
      <c r="G17" s="3" t="s">
        <v>556</v>
      </c>
      <c r="H17" s="3">
        <v>-15</v>
      </c>
      <c r="I17" s="3">
        <v>-158</v>
      </c>
      <c r="J17" s="3">
        <v>-145.17766497461926</v>
      </c>
      <c r="K17" s="1" t="s">
        <v>343</v>
      </c>
      <c r="L17" s="1" t="s">
        <v>344</v>
      </c>
      <c r="M17" s="1" t="s">
        <v>401</v>
      </c>
    </row>
    <row r="18" spans="1:13" ht="80">
      <c r="A18" s="1" t="s">
        <v>338</v>
      </c>
      <c r="B18" s="1" t="s">
        <v>596</v>
      </c>
      <c r="C18" s="1" t="s">
        <v>568</v>
      </c>
      <c r="D18" s="3">
        <v>384</v>
      </c>
      <c r="E18" s="3" t="s">
        <v>583</v>
      </c>
      <c r="F18" s="3" t="s">
        <v>552</v>
      </c>
      <c r="G18" s="3" t="s">
        <v>553</v>
      </c>
      <c r="H18" s="3">
        <v>-22</v>
      </c>
      <c r="I18" s="3">
        <v>-182</v>
      </c>
      <c r="J18" s="3">
        <v>-163.59918200408984</v>
      </c>
      <c r="K18" s="1" t="s">
        <v>343</v>
      </c>
      <c r="L18" s="1" t="s">
        <v>344</v>
      </c>
      <c r="M18" s="1" t="s">
        <v>401</v>
      </c>
    </row>
    <row r="19" spans="1:13" ht="80">
      <c r="A19" s="1" t="s">
        <v>338</v>
      </c>
      <c r="B19" s="1" t="s">
        <v>597</v>
      </c>
      <c r="C19" s="1" t="s">
        <v>585</v>
      </c>
      <c r="D19" s="3">
        <v>619</v>
      </c>
      <c r="E19" s="3" t="s">
        <v>583</v>
      </c>
      <c r="F19" s="3" t="s">
        <v>552</v>
      </c>
      <c r="G19" s="3" t="s">
        <v>553</v>
      </c>
      <c r="H19" s="3">
        <v>-15</v>
      </c>
      <c r="I19" s="3">
        <v>-179</v>
      </c>
      <c r="J19" s="3">
        <v>-166.497461928934</v>
      </c>
      <c r="K19" s="1" t="s">
        <v>343</v>
      </c>
      <c r="L19" s="1" t="s">
        <v>344</v>
      </c>
      <c r="M19" s="1" t="s">
        <v>401</v>
      </c>
    </row>
    <row r="20" spans="1:13" ht="80">
      <c r="A20" s="1" t="s">
        <v>338</v>
      </c>
      <c r="B20" s="1" t="s">
        <v>598</v>
      </c>
      <c r="C20" s="1" t="s">
        <v>568</v>
      </c>
      <c r="D20" s="3">
        <v>384</v>
      </c>
      <c r="E20" s="3" t="s">
        <v>583</v>
      </c>
      <c r="F20" s="3" t="s">
        <v>552</v>
      </c>
      <c r="G20" s="3" t="s">
        <v>553</v>
      </c>
      <c r="H20" s="3">
        <v>-40</v>
      </c>
      <c r="I20" s="3">
        <v>-207</v>
      </c>
      <c r="J20" s="3">
        <v>-173.9583333333332</v>
      </c>
      <c r="K20" s="1" t="s">
        <v>343</v>
      </c>
      <c r="L20" s="1" t="s">
        <v>344</v>
      </c>
      <c r="M20" s="1" t="s">
        <v>401</v>
      </c>
    </row>
    <row r="21" spans="1:13" ht="80">
      <c r="A21" s="1" t="s">
        <v>338</v>
      </c>
      <c r="B21" s="1" t="s">
        <v>599</v>
      </c>
      <c r="C21" s="1" t="s">
        <v>585</v>
      </c>
      <c r="D21" s="3">
        <v>619</v>
      </c>
      <c r="E21" s="3" t="s">
        <v>583</v>
      </c>
      <c r="F21" s="3" t="s">
        <v>552</v>
      </c>
      <c r="G21" s="3" t="s">
        <v>553</v>
      </c>
      <c r="H21" s="3">
        <v>-23</v>
      </c>
      <c r="I21" s="3">
        <v>-222</v>
      </c>
      <c r="J21" s="3">
        <v>-203.68474923234393</v>
      </c>
      <c r="K21" s="1" t="s">
        <v>343</v>
      </c>
      <c r="L21" s="1" t="s">
        <v>344</v>
      </c>
      <c r="M21" s="1" t="s">
        <v>401</v>
      </c>
    </row>
    <row r="22" spans="1:13" ht="80">
      <c r="A22" s="1" t="s">
        <v>338</v>
      </c>
      <c r="B22" s="1" t="s">
        <v>600</v>
      </c>
      <c r="C22" s="1" t="s">
        <v>585</v>
      </c>
      <c r="D22" s="3">
        <v>619</v>
      </c>
      <c r="E22" s="3" t="s">
        <v>583</v>
      </c>
      <c r="F22" s="3" t="s">
        <v>552</v>
      </c>
      <c r="G22" s="3" t="s">
        <v>553</v>
      </c>
      <c r="H22" s="3">
        <v>-35</v>
      </c>
      <c r="I22" s="3">
        <v>-185</v>
      </c>
      <c r="J22" s="3">
        <v>-155.440414507772</v>
      </c>
      <c r="K22" s="1" t="s">
        <v>343</v>
      </c>
      <c r="L22" s="1" t="s">
        <v>344</v>
      </c>
      <c r="M22" s="1" t="s">
        <v>401</v>
      </c>
    </row>
    <row r="23" spans="1:13">
      <c r="D23" s="4"/>
      <c r="E23" s="4"/>
      <c r="F23" s="4"/>
      <c r="G23" s="4"/>
      <c r="H23" s="4"/>
      <c r="I23" s="4"/>
      <c r="J23" s="4"/>
    </row>
    <row r="24" spans="1:13">
      <c r="D24" s="4"/>
      <c r="E24" s="4"/>
      <c r="F24" s="4"/>
      <c r="G24" s="4"/>
      <c r="H24" s="4"/>
      <c r="I24" s="4"/>
      <c r="J24" s="4"/>
    </row>
    <row r="25" spans="1:13">
      <c r="D25" s="4"/>
      <c r="E25" s="4"/>
      <c r="F25" s="4"/>
      <c r="G25" s="4"/>
      <c r="H25" s="4"/>
      <c r="I25" s="4"/>
      <c r="J25" s="4"/>
    </row>
    <row r="26" spans="1:13">
      <c r="D26" s="4"/>
      <c r="E26" s="4"/>
      <c r="F26" s="4"/>
      <c r="G26" s="4"/>
      <c r="H26" s="4"/>
      <c r="I26" s="4"/>
      <c r="J26" s="4"/>
    </row>
    <row r="27" spans="1:13">
      <c r="D27" s="4"/>
      <c r="E27" s="4"/>
      <c r="F27" s="4"/>
      <c r="G27" s="4"/>
      <c r="H27" s="4"/>
      <c r="I27" s="4"/>
      <c r="J27" s="4"/>
    </row>
    <row r="28" spans="1:13">
      <c r="D28" s="4"/>
      <c r="E28" s="4"/>
      <c r="F28" s="4"/>
      <c r="G28" s="4"/>
      <c r="H28" s="4"/>
      <c r="I28" s="4"/>
      <c r="J28" s="4"/>
    </row>
    <row r="29" spans="1:13">
      <c r="D29" s="4"/>
      <c r="E29" s="4"/>
      <c r="F29" s="4"/>
      <c r="G29" s="4"/>
      <c r="H29" s="4"/>
      <c r="I29" s="4"/>
      <c r="J29" s="4"/>
    </row>
    <row r="30" spans="1:13">
      <c r="D30" s="4"/>
      <c r="E30" s="4"/>
      <c r="F30" s="4"/>
      <c r="G30" s="4"/>
      <c r="H30" s="4"/>
      <c r="I30" s="4"/>
      <c r="J30" s="4"/>
    </row>
    <row r="31" spans="1:13">
      <c r="D31" s="4"/>
      <c r="E31" s="4"/>
      <c r="F31" s="4"/>
      <c r="G31" s="4"/>
      <c r="H31" s="4"/>
      <c r="I31" s="4"/>
      <c r="J31" s="4"/>
    </row>
    <row r="32" spans="1:13">
      <c r="D32" s="4"/>
      <c r="E32" s="4"/>
      <c r="F32" s="4"/>
      <c r="G32" s="4"/>
      <c r="H32" s="4"/>
      <c r="I32" s="4"/>
      <c r="J32" s="4"/>
    </row>
    <row r="33" spans="4:10">
      <c r="D33" s="4"/>
      <c r="E33" s="4"/>
      <c r="F33" s="4"/>
      <c r="G33" s="4"/>
      <c r="H33" s="4"/>
      <c r="I33" s="4"/>
      <c r="J33" s="4"/>
    </row>
    <row r="34" spans="4:10">
      <c r="D34" s="4"/>
      <c r="E34" s="4"/>
      <c r="F34" s="4"/>
      <c r="G34" s="4"/>
      <c r="H34" s="4"/>
      <c r="I34" s="4"/>
      <c r="J34" s="4"/>
    </row>
    <row r="35" spans="4:10">
      <c r="D35" s="4"/>
      <c r="E35" s="4"/>
      <c r="F35" s="4"/>
      <c r="G35" s="4"/>
      <c r="H35" s="4"/>
      <c r="I35" s="4"/>
      <c r="J35" s="4"/>
    </row>
    <row r="36" spans="4:10">
      <c r="D36" s="4"/>
      <c r="E36" s="4"/>
      <c r="F36" s="4"/>
      <c r="G36" s="4"/>
      <c r="H36" s="4"/>
      <c r="I36" s="4"/>
      <c r="J36" s="4"/>
    </row>
    <row r="37" spans="4:10">
      <c r="D37" s="4"/>
      <c r="E37" s="4"/>
      <c r="F37" s="4"/>
      <c r="G37" s="4"/>
      <c r="H37" s="4"/>
      <c r="I37" s="4"/>
      <c r="J37" s="4"/>
    </row>
    <row r="38" spans="4:10">
      <c r="D38" s="4"/>
      <c r="E38" s="4"/>
      <c r="F38" s="4"/>
      <c r="G38" s="4"/>
      <c r="H38" s="4"/>
      <c r="I38" s="4"/>
      <c r="J38" s="4"/>
    </row>
    <row r="39" spans="4:10">
      <c r="D39" s="4"/>
      <c r="E39" s="4"/>
      <c r="F39" s="4"/>
      <c r="G39" s="4"/>
      <c r="H39" s="4"/>
      <c r="I39" s="4"/>
      <c r="J39" s="4"/>
    </row>
    <row r="40" spans="4:10">
      <c r="D40" s="4"/>
      <c r="E40" s="4"/>
      <c r="F40" s="4"/>
      <c r="G40" s="4"/>
      <c r="H40" s="4"/>
      <c r="I40" s="4"/>
      <c r="J40" s="4"/>
    </row>
    <row r="41" spans="4:10">
      <c r="D41" s="4"/>
      <c r="E41" s="4"/>
      <c r="F41" s="4"/>
      <c r="G41" s="4"/>
      <c r="H41" s="4"/>
      <c r="I41" s="4"/>
      <c r="J41" s="4"/>
    </row>
    <row r="42" spans="4:10">
      <c r="D42" s="4"/>
      <c r="E42" s="4"/>
      <c r="F42" s="4"/>
      <c r="G42" s="4"/>
      <c r="H42" s="4"/>
      <c r="I42" s="4"/>
      <c r="J42" s="4"/>
    </row>
    <row r="43" spans="4:10">
      <c r="D43" s="4"/>
      <c r="E43" s="4"/>
      <c r="F43" s="4"/>
      <c r="G43" s="4"/>
      <c r="H43" s="4"/>
      <c r="I43" s="4"/>
      <c r="J43" s="4"/>
    </row>
    <row r="44" spans="4:10">
      <c r="D44" s="4"/>
      <c r="E44" s="4"/>
      <c r="F44" s="4"/>
      <c r="G44" s="4"/>
      <c r="H44" s="4"/>
      <c r="I44" s="4"/>
      <c r="J44" s="4"/>
    </row>
    <row r="45" spans="4:10">
      <c r="D45" s="4"/>
      <c r="E45" s="4"/>
      <c r="F45" s="4"/>
      <c r="G45" s="4"/>
      <c r="H45" s="4"/>
      <c r="I45" s="4"/>
      <c r="J45" s="4"/>
    </row>
    <row r="46" spans="4:10">
      <c r="D46" s="4"/>
      <c r="E46" s="4"/>
      <c r="F46" s="4"/>
      <c r="G46" s="4"/>
      <c r="H46" s="4"/>
      <c r="I46" s="4"/>
      <c r="J46" s="4"/>
    </row>
    <row r="47" spans="4:10">
      <c r="D47" s="4"/>
      <c r="E47" s="4"/>
      <c r="F47" s="4"/>
      <c r="G47" s="4"/>
      <c r="H47" s="4"/>
      <c r="I47" s="4"/>
      <c r="J47" s="4"/>
    </row>
    <row r="48" spans="4:10">
      <c r="D48" s="4"/>
      <c r="E48" s="4"/>
      <c r="F48" s="4"/>
      <c r="G48" s="4"/>
      <c r="H48" s="4"/>
      <c r="I48" s="4"/>
      <c r="J48" s="4"/>
    </row>
    <row r="49" spans="4:10">
      <c r="D49" s="4"/>
      <c r="E49" s="4"/>
      <c r="F49" s="4"/>
      <c r="G49" s="4"/>
      <c r="H49" s="4"/>
      <c r="I49" s="4"/>
      <c r="J49" s="4"/>
    </row>
    <row r="50" spans="4:10">
      <c r="D50" s="4"/>
      <c r="E50" s="4"/>
      <c r="F50" s="4"/>
      <c r="G50" s="4"/>
      <c r="H50" s="4"/>
      <c r="I50" s="4"/>
      <c r="J50" s="4"/>
    </row>
    <row r="51" spans="4:10">
      <c r="D51" s="4"/>
      <c r="E51" s="4"/>
      <c r="F51" s="4"/>
      <c r="G51" s="4"/>
      <c r="H51" s="4"/>
      <c r="I51" s="4"/>
      <c r="J51" s="4"/>
    </row>
    <row r="52" spans="4:10">
      <c r="D52" s="4"/>
      <c r="E52" s="4"/>
      <c r="F52" s="4"/>
      <c r="G52" s="4"/>
      <c r="H52" s="4"/>
      <c r="I52" s="4"/>
      <c r="J52" s="4"/>
    </row>
    <row r="53" spans="4:10">
      <c r="D53" s="4"/>
      <c r="E53" s="4"/>
      <c r="F53" s="4"/>
      <c r="G53" s="4"/>
      <c r="H53" s="4"/>
      <c r="I53" s="4"/>
      <c r="J53" s="4"/>
    </row>
    <row r="54" spans="4:10">
      <c r="D54" s="4"/>
      <c r="E54" s="4"/>
      <c r="F54" s="4"/>
      <c r="G54" s="4"/>
      <c r="H54" s="4"/>
      <c r="I54" s="4"/>
      <c r="J54" s="4"/>
    </row>
    <row r="55" spans="4:10">
      <c r="D55" s="4"/>
      <c r="E55" s="4"/>
      <c r="F55" s="4"/>
      <c r="G55" s="4"/>
      <c r="H55" s="4"/>
      <c r="I55" s="4"/>
      <c r="J55" s="4"/>
    </row>
    <row r="56" spans="4:10">
      <c r="D56" s="4"/>
      <c r="E56" s="4"/>
      <c r="F56" s="4"/>
      <c r="G56" s="4"/>
      <c r="H56" s="4"/>
      <c r="I56" s="4"/>
      <c r="J56" s="4"/>
    </row>
    <row r="57" spans="4:10">
      <c r="D57" s="4"/>
      <c r="E57" s="4"/>
      <c r="F57" s="4"/>
      <c r="G57" s="4"/>
      <c r="H57" s="4"/>
      <c r="I57" s="4"/>
      <c r="J57" s="4"/>
    </row>
    <row r="58" spans="4:10">
      <c r="D58" s="4"/>
      <c r="E58" s="4"/>
      <c r="F58" s="4"/>
      <c r="G58" s="4"/>
      <c r="H58" s="4"/>
      <c r="I58" s="4"/>
      <c r="J58" s="4"/>
    </row>
    <row r="59" spans="4:10">
      <c r="D59" s="4"/>
      <c r="E59" s="4"/>
      <c r="F59" s="4"/>
      <c r="G59" s="4"/>
      <c r="H59" s="4"/>
      <c r="I59" s="4"/>
      <c r="J59" s="4"/>
    </row>
    <row r="60" spans="4:10">
      <c r="D60" s="4"/>
      <c r="E60" s="4"/>
      <c r="F60" s="4"/>
      <c r="G60" s="4"/>
      <c r="H60" s="4"/>
      <c r="I60" s="4"/>
      <c r="J60" s="4"/>
    </row>
    <row r="61" spans="4:10">
      <c r="D61" s="4"/>
      <c r="E61" s="4"/>
      <c r="F61" s="4"/>
      <c r="G61" s="4"/>
      <c r="H61" s="4"/>
      <c r="I61" s="4"/>
      <c r="J61" s="4"/>
    </row>
    <row r="62" spans="4:10">
      <c r="D62" s="4"/>
      <c r="E62" s="4"/>
      <c r="F62" s="4"/>
      <c r="G62" s="4"/>
      <c r="H62" s="4"/>
      <c r="I62" s="4"/>
      <c r="J62" s="4"/>
    </row>
    <row r="63" spans="4:10">
      <c r="D63" s="4"/>
      <c r="E63" s="4"/>
      <c r="F63" s="4"/>
      <c r="G63" s="4"/>
      <c r="H63" s="4"/>
      <c r="I63" s="4"/>
      <c r="J63" s="4"/>
    </row>
    <row r="64" spans="4:10">
      <c r="D64" s="4"/>
      <c r="E64" s="4"/>
      <c r="F64" s="4"/>
      <c r="G64" s="4"/>
      <c r="H64" s="4"/>
      <c r="I64" s="4"/>
      <c r="J64" s="4"/>
    </row>
    <row r="65" spans="4:10">
      <c r="D65" s="4"/>
      <c r="E65" s="4"/>
      <c r="F65" s="4"/>
      <c r="G65" s="4"/>
      <c r="H65" s="4"/>
      <c r="I65" s="4"/>
      <c r="J65" s="4"/>
    </row>
    <row r="66" spans="4:10">
      <c r="D66" s="4"/>
      <c r="E66" s="4"/>
      <c r="F66" s="4"/>
      <c r="G66" s="4"/>
      <c r="H66" s="4"/>
      <c r="I66" s="4"/>
      <c r="J66" s="4"/>
    </row>
    <row r="67" spans="4:10">
      <c r="D67" s="4"/>
      <c r="E67" s="4"/>
      <c r="F67" s="4"/>
      <c r="G67" s="4"/>
      <c r="H67" s="4"/>
      <c r="I67" s="4"/>
      <c r="J67" s="4"/>
    </row>
    <row r="68" spans="4:10">
      <c r="D68" s="4"/>
      <c r="E68" s="4"/>
      <c r="F68" s="4"/>
      <c r="G68" s="4"/>
      <c r="H68" s="4"/>
      <c r="I68" s="4"/>
      <c r="J68" s="4"/>
    </row>
    <row r="69" spans="4:10">
      <c r="D69" s="4"/>
      <c r="E69" s="4"/>
      <c r="F69" s="4"/>
      <c r="G69" s="4"/>
      <c r="H69" s="4"/>
      <c r="I69" s="4"/>
      <c r="J69" s="4"/>
    </row>
    <row r="70" spans="4:10">
      <c r="D70" s="4"/>
      <c r="E70" s="4"/>
      <c r="F70" s="4"/>
      <c r="G70" s="4"/>
      <c r="H70" s="4"/>
      <c r="I70" s="4"/>
      <c r="J70" s="4"/>
    </row>
    <row r="71" spans="4:10">
      <c r="D71" s="4"/>
      <c r="E71" s="4"/>
      <c r="F71" s="4"/>
      <c r="G71" s="4"/>
      <c r="H71" s="4"/>
      <c r="I71" s="4"/>
      <c r="J71" s="4"/>
    </row>
    <row r="72" spans="4:10">
      <c r="D72" s="4"/>
      <c r="E72" s="4"/>
      <c r="F72" s="4"/>
      <c r="G72" s="4"/>
      <c r="H72" s="4"/>
      <c r="I72" s="4"/>
      <c r="J72" s="4"/>
    </row>
    <row r="73" spans="4:10">
      <c r="D73" s="4"/>
      <c r="E73" s="4"/>
      <c r="F73" s="4"/>
      <c r="G73" s="4"/>
      <c r="H73" s="4"/>
      <c r="I73" s="4"/>
      <c r="J73" s="4"/>
    </row>
    <row r="74" spans="4:10">
      <c r="D74" s="4"/>
      <c r="E74" s="4"/>
      <c r="F74" s="4"/>
      <c r="G74" s="4"/>
      <c r="H74" s="4"/>
      <c r="I74" s="4"/>
      <c r="J74" s="4"/>
    </row>
    <row r="75" spans="4:10">
      <c r="D75" s="4"/>
      <c r="E75" s="4"/>
      <c r="F75" s="4"/>
      <c r="G75" s="4"/>
      <c r="H75" s="4"/>
      <c r="I75" s="4"/>
      <c r="J75" s="4"/>
    </row>
    <row r="76" spans="4:10">
      <c r="D76" s="4"/>
      <c r="E76" s="4"/>
      <c r="F76" s="4"/>
      <c r="G76" s="4"/>
      <c r="H76" s="4"/>
      <c r="I76" s="4"/>
      <c r="J76" s="4"/>
    </row>
    <row r="77" spans="4:10">
      <c r="D77" s="4"/>
      <c r="E77" s="4"/>
      <c r="F77" s="4"/>
      <c r="G77" s="4"/>
      <c r="H77" s="4"/>
      <c r="I77" s="4"/>
      <c r="J77" s="4"/>
    </row>
    <row r="78" spans="4:10">
      <c r="D78" s="4"/>
      <c r="E78" s="4"/>
      <c r="F78" s="4"/>
      <c r="G78" s="4"/>
      <c r="H78" s="4"/>
      <c r="I78" s="4"/>
      <c r="J78" s="4"/>
    </row>
    <row r="79" spans="4:10">
      <c r="D79" s="4"/>
      <c r="E79" s="4"/>
      <c r="F79" s="4"/>
      <c r="G79" s="4"/>
      <c r="H79" s="4"/>
      <c r="I79" s="4"/>
      <c r="J79" s="4"/>
    </row>
    <row r="80" spans="4:10">
      <c r="D80" s="4"/>
      <c r="E80" s="4"/>
      <c r="F80" s="4"/>
      <c r="G80" s="4"/>
      <c r="H80" s="4"/>
      <c r="I80" s="4"/>
      <c r="J80" s="4"/>
    </row>
    <row r="81" spans="4:10">
      <c r="D81" s="4"/>
      <c r="E81" s="4"/>
      <c r="F81" s="4"/>
      <c r="G81" s="4"/>
      <c r="H81" s="4"/>
      <c r="I81" s="4"/>
      <c r="J81" s="4"/>
    </row>
    <row r="82" spans="4:10">
      <c r="D82" s="4"/>
      <c r="E82" s="4"/>
      <c r="F82" s="4"/>
      <c r="G82" s="4"/>
      <c r="H82" s="4"/>
      <c r="I82" s="4"/>
      <c r="J82" s="4"/>
    </row>
    <row r="83" spans="4:10">
      <c r="D83" s="4"/>
      <c r="E83" s="4"/>
      <c r="F83" s="4"/>
      <c r="G83" s="4"/>
      <c r="H83" s="4"/>
      <c r="I83" s="4"/>
      <c r="J83" s="4"/>
    </row>
    <row r="84" spans="4:10">
      <c r="D84" s="4"/>
      <c r="E84" s="4"/>
      <c r="F84" s="4"/>
      <c r="G84" s="4"/>
      <c r="H84" s="4"/>
      <c r="I84" s="4"/>
      <c r="J84" s="4"/>
    </row>
    <row r="85" spans="4:10">
      <c r="D85" s="4"/>
      <c r="E85" s="4"/>
      <c r="F85" s="4"/>
      <c r="G85" s="4"/>
      <c r="H85" s="4"/>
      <c r="I85" s="4"/>
      <c r="J85" s="4"/>
    </row>
    <row r="86" spans="4:10">
      <c r="D86" s="4"/>
      <c r="E86" s="4"/>
      <c r="F86" s="4"/>
      <c r="G86" s="4"/>
      <c r="H86" s="4"/>
      <c r="I86" s="4"/>
      <c r="J86" s="4"/>
    </row>
    <row r="87" spans="4:10">
      <c r="D87" s="4"/>
      <c r="E87" s="4"/>
      <c r="F87" s="4"/>
      <c r="G87" s="4"/>
      <c r="H87" s="4"/>
      <c r="I87" s="4"/>
      <c r="J87" s="4"/>
    </row>
    <row r="88" spans="4:10">
      <c r="D88" s="4"/>
      <c r="E88" s="4"/>
      <c r="F88" s="4"/>
      <c r="G88" s="4"/>
      <c r="H88" s="4"/>
      <c r="I88" s="4"/>
      <c r="J88" s="4"/>
    </row>
    <row r="89" spans="4:10">
      <c r="D89" s="4"/>
      <c r="E89" s="4"/>
      <c r="F89" s="4"/>
      <c r="G89" s="4"/>
      <c r="H89" s="4"/>
      <c r="I89" s="4"/>
      <c r="J89" s="4"/>
    </row>
    <row r="90" spans="4:10">
      <c r="D90" s="4"/>
      <c r="E90" s="4"/>
      <c r="F90" s="4"/>
      <c r="G90" s="4"/>
      <c r="H90" s="4"/>
      <c r="I90" s="4"/>
      <c r="J90" s="4"/>
    </row>
    <row r="91" spans="4:10">
      <c r="D91" s="4"/>
      <c r="E91" s="4"/>
      <c r="F91" s="4"/>
      <c r="G91" s="4"/>
      <c r="H91" s="4"/>
      <c r="I91" s="4"/>
      <c r="J91" s="4"/>
    </row>
    <row r="92" spans="4:10">
      <c r="D92" s="4"/>
      <c r="E92" s="4"/>
      <c r="F92" s="4"/>
      <c r="G92" s="4"/>
      <c r="H92" s="4"/>
      <c r="I92" s="4"/>
      <c r="J92" s="4"/>
    </row>
    <row r="93" spans="4:10">
      <c r="D93" s="4"/>
      <c r="E93" s="4"/>
      <c r="F93" s="4"/>
      <c r="G93" s="4"/>
      <c r="H93" s="4"/>
      <c r="I93" s="4"/>
      <c r="J93" s="4"/>
    </row>
    <row r="94" spans="4:10">
      <c r="D94" s="4"/>
      <c r="E94" s="4"/>
      <c r="F94" s="4"/>
      <c r="G94" s="4"/>
      <c r="H94" s="4"/>
      <c r="I94" s="4"/>
      <c r="J94" s="4"/>
    </row>
    <row r="95" spans="4:10">
      <c r="D95" s="4"/>
      <c r="E95" s="4"/>
      <c r="F95" s="4"/>
      <c r="G95" s="4"/>
      <c r="H95" s="4"/>
      <c r="I95" s="4"/>
      <c r="J95" s="4"/>
    </row>
    <row r="96" spans="4:10">
      <c r="D96" s="4"/>
      <c r="E96" s="4"/>
      <c r="F96" s="4"/>
      <c r="G96" s="4"/>
      <c r="H96" s="4"/>
      <c r="I96" s="4"/>
      <c r="J96" s="4"/>
    </row>
    <row r="97" spans="4:10">
      <c r="D97" s="4"/>
      <c r="E97" s="4"/>
      <c r="F97" s="4"/>
      <c r="G97" s="4"/>
      <c r="H97" s="4"/>
      <c r="I97" s="4"/>
      <c r="J97" s="4"/>
    </row>
    <row r="98" spans="4:10">
      <c r="D98" s="4"/>
      <c r="E98" s="4"/>
      <c r="F98" s="4"/>
      <c r="G98" s="4"/>
      <c r="H98" s="4"/>
      <c r="I98" s="4"/>
      <c r="J98" s="4"/>
    </row>
    <row r="99" spans="4:10">
      <c r="D99" s="4"/>
      <c r="E99" s="4"/>
      <c r="F99" s="4"/>
      <c r="G99" s="4"/>
      <c r="H99" s="4"/>
      <c r="I99" s="4"/>
      <c r="J99" s="4"/>
    </row>
    <row r="100" spans="4:10">
      <c r="D100" s="4"/>
      <c r="E100" s="4"/>
      <c r="F100" s="4"/>
      <c r="G100" s="4"/>
      <c r="H100" s="4"/>
      <c r="I100" s="4"/>
      <c r="J100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8"/>
  <sheetViews>
    <sheetView workbookViewId="0">
      <selection activeCell="M1" sqref="M1:M1048576"/>
    </sheetView>
  </sheetViews>
  <sheetFormatPr baseColWidth="10" defaultColWidth="8.83203125" defaultRowHeight="15"/>
  <cols>
    <col min="1" max="3" width="16" customWidth="1"/>
    <col min="4" max="4" width="24" customWidth="1"/>
    <col min="5" max="11" width="16" customWidth="1"/>
    <col min="12" max="12" width="42" customWidth="1"/>
  </cols>
  <sheetData>
    <row r="1" spans="1:12" ht="32">
      <c r="A1" s="2" t="s">
        <v>30</v>
      </c>
      <c r="B1" s="2" t="s">
        <v>601</v>
      </c>
      <c r="C1" s="2" t="s">
        <v>31</v>
      </c>
      <c r="D1" s="2" t="s">
        <v>602</v>
      </c>
      <c r="E1" s="2" t="s">
        <v>603</v>
      </c>
      <c r="F1" s="2" t="s">
        <v>604</v>
      </c>
      <c r="G1" s="2" t="s">
        <v>605</v>
      </c>
      <c r="H1" s="2" t="s">
        <v>606</v>
      </c>
      <c r="I1" s="2" t="s">
        <v>54</v>
      </c>
      <c r="J1" s="2" t="s">
        <v>55</v>
      </c>
      <c r="K1" s="2" t="s">
        <v>607</v>
      </c>
      <c r="L1" s="2" t="s">
        <v>57</v>
      </c>
    </row>
    <row r="2" spans="1:12" ht="32">
      <c r="A2" s="1" t="s">
        <v>402</v>
      </c>
      <c r="B2" s="1">
        <v>2</v>
      </c>
      <c r="C2" s="1" t="s">
        <v>608</v>
      </c>
      <c r="D2" s="1" t="s">
        <v>609</v>
      </c>
      <c r="E2" s="1"/>
      <c r="F2" s="1">
        <v>-123</v>
      </c>
      <c r="G2" s="1">
        <v>-124</v>
      </c>
      <c r="H2" s="1">
        <v>-120</v>
      </c>
      <c r="I2" s="1">
        <v>-1</v>
      </c>
      <c r="J2" s="1">
        <v>4</v>
      </c>
      <c r="K2" s="1" t="s">
        <v>409</v>
      </c>
      <c r="L2" s="1" t="s">
        <v>410</v>
      </c>
    </row>
    <row r="3" spans="1:12" ht="32">
      <c r="A3" s="1" t="s">
        <v>402</v>
      </c>
      <c r="B3" s="1">
        <v>3</v>
      </c>
      <c r="C3" s="1" t="s">
        <v>610</v>
      </c>
      <c r="D3" s="1" t="s">
        <v>609</v>
      </c>
      <c r="E3" s="1"/>
      <c r="F3" s="1">
        <v>-144</v>
      </c>
      <c r="G3" s="1">
        <v>-130</v>
      </c>
      <c r="H3" s="1">
        <v>-112</v>
      </c>
      <c r="I3" s="1">
        <v>14</v>
      </c>
      <c r="J3" s="1">
        <v>18</v>
      </c>
      <c r="K3" s="1" t="s">
        <v>409</v>
      </c>
      <c r="L3" s="1" t="s">
        <v>410</v>
      </c>
    </row>
    <row r="4" spans="1:12" ht="32">
      <c r="A4" s="1" t="s">
        <v>402</v>
      </c>
      <c r="B4" s="1">
        <v>4</v>
      </c>
      <c r="C4" s="1" t="s">
        <v>611</v>
      </c>
      <c r="D4" s="1" t="s">
        <v>609</v>
      </c>
      <c r="E4" s="1"/>
      <c r="F4" s="1">
        <v>-140</v>
      </c>
      <c r="G4" s="1">
        <v>-128</v>
      </c>
      <c r="H4" s="1">
        <v>-122</v>
      </c>
      <c r="I4" s="1">
        <v>12</v>
      </c>
      <c r="J4" s="1">
        <v>6</v>
      </c>
      <c r="K4" s="1" t="s">
        <v>409</v>
      </c>
      <c r="L4" s="1" t="s">
        <v>410</v>
      </c>
    </row>
    <row r="5" spans="1:12" ht="32">
      <c r="A5" s="1" t="s">
        <v>402</v>
      </c>
      <c r="B5" s="1">
        <v>5</v>
      </c>
      <c r="C5" s="1" t="s">
        <v>612</v>
      </c>
      <c r="D5" s="1" t="s">
        <v>609</v>
      </c>
      <c r="E5" s="1"/>
      <c r="F5" s="1">
        <v>-147</v>
      </c>
      <c r="G5" s="1">
        <v>-126</v>
      </c>
      <c r="H5" s="1">
        <v>-126</v>
      </c>
      <c r="I5" s="1">
        <v>21</v>
      </c>
      <c r="J5" s="1">
        <v>0</v>
      </c>
      <c r="K5" s="1" t="s">
        <v>409</v>
      </c>
      <c r="L5" s="1" t="s">
        <v>410</v>
      </c>
    </row>
    <row r="6" spans="1:12" ht="32">
      <c r="A6" s="1" t="s">
        <v>402</v>
      </c>
      <c r="B6" s="1">
        <v>6</v>
      </c>
      <c r="C6" s="1" t="s">
        <v>613</v>
      </c>
      <c r="D6" s="1" t="s">
        <v>609</v>
      </c>
      <c r="E6" s="1"/>
      <c r="F6" s="1">
        <v>-137</v>
      </c>
      <c r="G6" s="1">
        <v>-137</v>
      </c>
      <c r="H6" s="1">
        <v>-139</v>
      </c>
      <c r="I6" s="1">
        <v>0</v>
      </c>
      <c r="J6" s="1">
        <v>-2</v>
      </c>
      <c r="K6" s="1" t="s">
        <v>409</v>
      </c>
      <c r="L6" s="1" t="s">
        <v>410</v>
      </c>
    </row>
    <row r="7" spans="1:12" ht="32">
      <c r="A7" s="1" t="s">
        <v>402</v>
      </c>
      <c r="B7" s="1">
        <v>17</v>
      </c>
      <c r="C7" s="1" t="s">
        <v>614</v>
      </c>
      <c r="D7" s="1" t="s">
        <v>609</v>
      </c>
      <c r="E7" s="1"/>
      <c r="F7" s="1">
        <v>-136</v>
      </c>
      <c r="G7" s="1">
        <v>-130</v>
      </c>
      <c r="H7" s="1">
        <v>-117</v>
      </c>
      <c r="I7" s="1">
        <v>6</v>
      </c>
      <c r="J7" s="1">
        <v>13</v>
      </c>
      <c r="K7" s="1" t="s">
        <v>409</v>
      </c>
      <c r="L7" s="1" t="s">
        <v>410</v>
      </c>
    </row>
    <row r="8" spans="1:12" ht="32">
      <c r="A8" s="1" t="s">
        <v>402</v>
      </c>
      <c r="B8" s="1">
        <v>18</v>
      </c>
      <c r="C8" s="1" t="s">
        <v>615</v>
      </c>
      <c r="D8" s="1" t="s">
        <v>609</v>
      </c>
      <c r="E8" s="1"/>
      <c r="F8" s="1">
        <v>-152</v>
      </c>
      <c r="G8" s="1">
        <v>-136</v>
      </c>
      <c r="H8" s="1"/>
      <c r="I8" s="1">
        <v>16</v>
      </c>
      <c r="J8" s="1"/>
      <c r="K8" s="1" t="s">
        <v>409</v>
      </c>
      <c r="L8" s="1" t="s">
        <v>410</v>
      </c>
    </row>
    <row r="9" spans="1:12" ht="32">
      <c r="A9" s="1" t="s">
        <v>402</v>
      </c>
      <c r="B9" s="1">
        <v>19</v>
      </c>
      <c r="C9" s="1" t="s">
        <v>616</v>
      </c>
      <c r="D9" s="1" t="s">
        <v>609</v>
      </c>
      <c r="E9" s="1"/>
      <c r="F9" s="1">
        <v>-154</v>
      </c>
      <c r="G9" s="1">
        <v>-139</v>
      </c>
      <c r="H9" s="1">
        <v>-128</v>
      </c>
      <c r="I9" s="1">
        <v>15</v>
      </c>
      <c r="J9" s="1">
        <v>11</v>
      </c>
      <c r="K9" s="1" t="s">
        <v>409</v>
      </c>
      <c r="L9" s="1" t="s">
        <v>410</v>
      </c>
    </row>
    <row r="10" spans="1:12" ht="32">
      <c r="A10" s="1" t="s">
        <v>402</v>
      </c>
      <c r="B10" s="1">
        <v>20</v>
      </c>
      <c r="C10" s="1" t="s">
        <v>617</v>
      </c>
      <c r="D10" s="1" t="s">
        <v>609</v>
      </c>
      <c r="E10" s="1"/>
      <c r="F10" s="1">
        <v>-160</v>
      </c>
      <c r="G10" s="1">
        <v>-138</v>
      </c>
      <c r="H10" s="1">
        <v>-135</v>
      </c>
      <c r="I10" s="1">
        <v>22</v>
      </c>
      <c r="J10" s="1">
        <v>3</v>
      </c>
      <c r="K10" s="1" t="s">
        <v>409</v>
      </c>
      <c r="L10" s="1" t="s">
        <v>410</v>
      </c>
    </row>
    <row r="11" spans="1:12" ht="32">
      <c r="A11" s="1" t="s">
        <v>402</v>
      </c>
      <c r="B11" s="1">
        <v>50</v>
      </c>
      <c r="C11" s="1" t="s">
        <v>618</v>
      </c>
      <c r="D11" s="1" t="s">
        <v>609</v>
      </c>
      <c r="E11" s="1"/>
      <c r="F11" s="1">
        <v>-161</v>
      </c>
      <c r="G11" s="1">
        <v>-149</v>
      </c>
      <c r="H11" s="1">
        <v>-140</v>
      </c>
      <c r="I11" s="1">
        <v>12</v>
      </c>
      <c r="J11" s="1">
        <v>9</v>
      </c>
      <c r="K11" s="1" t="s">
        <v>409</v>
      </c>
      <c r="L11" s="1" t="s">
        <v>410</v>
      </c>
    </row>
    <row r="12" spans="1:12" ht="32">
      <c r="A12" s="1" t="s">
        <v>402</v>
      </c>
      <c r="B12" s="1">
        <v>53</v>
      </c>
      <c r="C12" s="1" t="s">
        <v>619</v>
      </c>
      <c r="D12" s="1" t="s">
        <v>609</v>
      </c>
      <c r="E12" s="1"/>
      <c r="F12" s="1">
        <v>-159</v>
      </c>
      <c r="G12" s="1">
        <v>-151</v>
      </c>
      <c r="H12" s="1"/>
      <c r="I12" s="1">
        <v>8</v>
      </c>
      <c r="J12" s="1"/>
      <c r="K12" s="1" t="s">
        <v>409</v>
      </c>
      <c r="L12" s="1" t="s">
        <v>410</v>
      </c>
    </row>
    <row r="13" spans="1:12" ht="32">
      <c r="A13" s="1" t="s">
        <v>402</v>
      </c>
      <c r="B13" s="1">
        <v>72</v>
      </c>
      <c r="C13" s="1" t="s">
        <v>620</v>
      </c>
      <c r="D13" s="1" t="s">
        <v>609</v>
      </c>
      <c r="E13" s="1"/>
      <c r="F13" s="1">
        <v>-133</v>
      </c>
      <c r="G13" s="1">
        <v>-117</v>
      </c>
      <c r="H13" s="1">
        <v>-106</v>
      </c>
      <c r="I13" s="1">
        <v>16</v>
      </c>
      <c r="J13" s="1">
        <v>11</v>
      </c>
      <c r="K13" s="1" t="s">
        <v>409</v>
      </c>
      <c r="L13" s="1" t="s">
        <v>410</v>
      </c>
    </row>
    <row r="14" spans="1:12" ht="32">
      <c r="A14" s="1" t="s">
        <v>402</v>
      </c>
      <c r="B14" s="1">
        <v>74</v>
      </c>
      <c r="C14" s="1" t="s">
        <v>621</v>
      </c>
      <c r="D14" s="1" t="s">
        <v>609</v>
      </c>
      <c r="E14" s="1"/>
      <c r="F14" s="1">
        <v>-142</v>
      </c>
      <c r="G14" s="1">
        <v>-147</v>
      </c>
      <c r="H14" s="1">
        <v>-155</v>
      </c>
      <c r="I14" s="1">
        <v>-5</v>
      </c>
      <c r="J14" s="1">
        <v>-8</v>
      </c>
      <c r="K14" s="1" t="s">
        <v>409</v>
      </c>
      <c r="L14" s="1" t="s">
        <v>410</v>
      </c>
    </row>
    <row r="15" spans="1:12" ht="32">
      <c r="A15" s="1" t="s">
        <v>402</v>
      </c>
      <c r="B15" s="1">
        <v>81</v>
      </c>
      <c r="C15" s="1" t="s">
        <v>622</v>
      </c>
      <c r="D15" s="1" t="s">
        <v>609</v>
      </c>
      <c r="E15" s="1"/>
      <c r="F15" s="1">
        <v>-139</v>
      </c>
      <c r="G15" s="1">
        <v>-130</v>
      </c>
      <c r="H15" s="1">
        <v>-127</v>
      </c>
      <c r="I15" s="1">
        <v>9</v>
      </c>
      <c r="J15" s="1">
        <v>3</v>
      </c>
      <c r="K15" s="1" t="s">
        <v>409</v>
      </c>
      <c r="L15" s="1" t="s">
        <v>410</v>
      </c>
    </row>
    <row r="16" spans="1:12" ht="32">
      <c r="A16" s="1" t="s">
        <v>402</v>
      </c>
      <c r="B16" s="1">
        <v>1</v>
      </c>
      <c r="C16" s="1" t="s">
        <v>623</v>
      </c>
      <c r="D16" s="1" t="s">
        <v>624</v>
      </c>
      <c r="E16" s="1"/>
      <c r="F16" s="1">
        <v>-151</v>
      </c>
      <c r="G16" s="1"/>
      <c r="H16" s="1"/>
      <c r="I16" s="1"/>
      <c r="J16" s="1"/>
      <c r="K16" s="1" t="s">
        <v>409</v>
      </c>
      <c r="L16" s="1" t="s">
        <v>410</v>
      </c>
    </row>
    <row r="17" spans="1:12" ht="32">
      <c r="A17" s="1" t="s">
        <v>402</v>
      </c>
      <c r="B17" s="1">
        <v>2</v>
      </c>
      <c r="C17" s="1" t="s">
        <v>625</v>
      </c>
      <c r="D17" s="1" t="s">
        <v>624</v>
      </c>
      <c r="E17" s="1"/>
      <c r="F17" s="1">
        <v>-135</v>
      </c>
      <c r="G17" s="1">
        <v>-150</v>
      </c>
      <c r="H17" s="1"/>
      <c r="I17" s="1">
        <v>-15</v>
      </c>
      <c r="J17" s="1"/>
      <c r="K17" s="1" t="s">
        <v>409</v>
      </c>
      <c r="L17" s="1" t="s">
        <v>410</v>
      </c>
    </row>
    <row r="18" spans="1:12" ht="32">
      <c r="A18" s="1" t="s">
        <v>402</v>
      </c>
      <c r="B18" s="1">
        <v>3</v>
      </c>
      <c r="C18" s="1" t="s">
        <v>626</v>
      </c>
      <c r="D18" s="1" t="s">
        <v>624</v>
      </c>
      <c r="E18" s="1"/>
      <c r="F18" s="1">
        <v>-144</v>
      </c>
      <c r="G18" s="1">
        <v>-153</v>
      </c>
      <c r="H18" s="1"/>
      <c r="I18" s="1">
        <v>-9</v>
      </c>
      <c r="J18" s="1"/>
      <c r="K18" s="1" t="s">
        <v>409</v>
      </c>
      <c r="L18" s="1" t="s">
        <v>410</v>
      </c>
    </row>
    <row r="19" spans="1:12" ht="32">
      <c r="A19" s="1" t="s">
        <v>402</v>
      </c>
      <c r="B19" s="1">
        <v>5</v>
      </c>
      <c r="C19" s="1" t="s">
        <v>627</v>
      </c>
      <c r="D19" s="1" t="s">
        <v>624</v>
      </c>
      <c r="E19" s="1"/>
      <c r="F19" s="1">
        <v>-155</v>
      </c>
      <c r="G19" s="1">
        <v>-165</v>
      </c>
      <c r="H19" s="1"/>
      <c r="I19" s="1">
        <v>-10</v>
      </c>
      <c r="J19" s="1"/>
      <c r="K19" s="1" t="s">
        <v>409</v>
      </c>
      <c r="L19" s="1" t="s">
        <v>410</v>
      </c>
    </row>
    <row r="20" spans="1:12" ht="32">
      <c r="A20" s="1" t="s">
        <v>402</v>
      </c>
      <c r="B20" s="1">
        <v>17</v>
      </c>
      <c r="C20" s="1" t="s">
        <v>628</v>
      </c>
      <c r="D20" s="1" t="s">
        <v>624</v>
      </c>
      <c r="E20" s="1"/>
      <c r="F20" s="1">
        <v>-167</v>
      </c>
      <c r="G20" s="1">
        <v>-182</v>
      </c>
      <c r="H20" s="1"/>
      <c r="I20" s="1">
        <v>-15</v>
      </c>
      <c r="J20" s="1"/>
      <c r="K20" s="1" t="s">
        <v>409</v>
      </c>
      <c r="L20" s="1" t="s">
        <v>410</v>
      </c>
    </row>
    <row r="21" spans="1:12" ht="32">
      <c r="A21" s="1" t="s">
        <v>402</v>
      </c>
      <c r="B21" s="1">
        <v>23</v>
      </c>
      <c r="C21" s="1" t="s">
        <v>629</v>
      </c>
      <c r="D21" s="1" t="s">
        <v>624</v>
      </c>
      <c r="E21" s="1"/>
      <c r="F21" s="1">
        <v>-203</v>
      </c>
      <c r="G21" s="1"/>
      <c r="H21" s="1"/>
      <c r="I21" s="1"/>
      <c r="J21" s="1"/>
      <c r="K21" s="1" t="s">
        <v>409</v>
      </c>
      <c r="L21" s="1" t="s">
        <v>410</v>
      </c>
    </row>
    <row r="22" spans="1:12" ht="32">
      <c r="A22" s="1" t="s">
        <v>402</v>
      </c>
      <c r="B22" s="1">
        <v>28</v>
      </c>
      <c r="C22" s="1" t="s">
        <v>630</v>
      </c>
      <c r="D22" s="1" t="s">
        <v>624</v>
      </c>
      <c r="E22" s="1"/>
      <c r="F22" s="1">
        <v>-233</v>
      </c>
      <c r="G22" s="1">
        <v>-235</v>
      </c>
      <c r="H22" s="1"/>
      <c r="I22" s="1">
        <v>-2</v>
      </c>
      <c r="J22" s="1"/>
      <c r="K22" s="1" t="s">
        <v>409</v>
      </c>
      <c r="L22" s="1" t="s">
        <v>410</v>
      </c>
    </row>
    <row r="23" spans="1:12" ht="32">
      <c r="A23" s="1" t="s">
        <v>402</v>
      </c>
      <c r="B23" s="1">
        <v>31</v>
      </c>
      <c r="C23" s="1" t="s">
        <v>631</v>
      </c>
      <c r="D23" s="1" t="s">
        <v>624</v>
      </c>
      <c r="E23" s="1"/>
      <c r="F23" s="1">
        <v>-224</v>
      </c>
      <c r="G23" s="1"/>
      <c r="H23" s="1"/>
      <c r="I23" s="1"/>
      <c r="J23" s="1"/>
      <c r="K23" s="1" t="s">
        <v>409</v>
      </c>
      <c r="L23" s="1" t="s">
        <v>410</v>
      </c>
    </row>
    <row r="24" spans="1:12" ht="32">
      <c r="A24" s="1" t="s">
        <v>402</v>
      </c>
      <c r="B24" s="1">
        <v>32</v>
      </c>
      <c r="C24" s="1" t="s">
        <v>632</v>
      </c>
      <c r="D24" s="1" t="s">
        <v>624</v>
      </c>
      <c r="E24" s="1"/>
      <c r="F24" s="1">
        <v>-213</v>
      </c>
      <c r="G24" s="1"/>
      <c r="H24" s="1"/>
      <c r="I24" s="1"/>
      <c r="J24" s="1"/>
      <c r="K24" s="1" t="s">
        <v>409</v>
      </c>
      <c r="L24" s="1" t="s">
        <v>410</v>
      </c>
    </row>
    <row r="25" spans="1:12" ht="32">
      <c r="A25" s="1" t="s">
        <v>402</v>
      </c>
      <c r="B25" s="1">
        <v>36</v>
      </c>
      <c r="C25" s="1" t="s">
        <v>633</v>
      </c>
      <c r="D25" s="1" t="s">
        <v>624</v>
      </c>
      <c r="E25" s="1"/>
      <c r="F25" s="1">
        <v>-221</v>
      </c>
      <c r="G25" s="1"/>
      <c r="H25" s="1"/>
      <c r="I25" s="1"/>
      <c r="J25" s="1"/>
      <c r="K25" s="1" t="s">
        <v>409</v>
      </c>
      <c r="L25" s="1" t="s">
        <v>410</v>
      </c>
    </row>
    <row r="26" spans="1:12" ht="32">
      <c r="A26" s="1" t="s">
        <v>402</v>
      </c>
      <c r="B26" s="1">
        <v>42</v>
      </c>
      <c r="C26" s="1" t="s">
        <v>634</v>
      </c>
      <c r="D26" s="1" t="s">
        <v>624</v>
      </c>
      <c r="E26" s="1"/>
      <c r="F26" s="1">
        <v>-218</v>
      </c>
      <c r="G26" s="1"/>
      <c r="H26" s="1"/>
      <c r="I26" s="1"/>
      <c r="J26" s="1"/>
      <c r="K26" s="1" t="s">
        <v>409</v>
      </c>
      <c r="L26" s="1" t="s">
        <v>410</v>
      </c>
    </row>
    <row r="27" spans="1:12" ht="32">
      <c r="A27" s="1" t="s">
        <v>402</v>
      </c>
      <c r="B27" s="1">
        <v>49</v>
      </c>
      <c r="C27" s="1" t="s">
        <v>635</v>
      </c>
      <c r="D27" s="1" t="s">
        <v>624</v>
      </c>
      <c r="E27" s="1"/>
      <c r="F27" s="1">
        <v>-192</v>
      </c>
      <c r="G27" s="1"/>
      <c r="H27" s="1"/>
      <c r="I27" s="1"/>
      <c r="J27" s="1"/>
      <c r="K27" s="1" t="s">
        <v>409</v>
      </c>
      <c r="L27" s="1" t="s">
        <v>410</v>
      </c>
    </row>
    <row r="28" spans="1:12" ht="32">
      <c r="A28" s="1" t="s">
        <v>402</v>
      </c>
      <c r="B28" s="1">
        <v>54</v>
      </c>
      <c r="C28" s="1" t="s">
        <v>636</v>
      </c>
      <c r="D28" s="1" t="s">
        <v>624</v>
      </c>
      <c r="E28" s="1"/>
      <c r="F28" s="1"/>
      <c r="G28" s="1">
        <v>-181</v>
      </c>
      <c r="H28" s="1"/>
      <c r="I28" s="1"/>
      <c r="J28" s="1"/>
      <c r="K28" s="1" t="s">
        <v>409</v>
      </c>
      <c r="L28" s="1" t="s">
        <v>410</v>
      </c>
    </row>
    <row r="29" spans="1:12" ht="32">
      <c r="A29" s="1" t="s">
        <v>402</v>
      </c>
      <c r="B29" s="1">
        <v>31</v>
      </c>
      <c r="C29" s="1" t="s">
        <v>637</v>
      </c>
      <c r="D29" s="1" t="s">
        <v>638</v>
      </c>
      <c r="E29" s="1"/>
      <c r="F29" s="1">
        <v>-191</v>
      </c>
      <c r="G29" s="1">
        <v>-190</v>
      </c>
      <c r="H29" s="1">
        <v>-186</v>
      </c>
      <c r="I29" s="1">
        <v>1</v>
      </c>
      <c r="J29" s="1">
        <v>4</v>
      </c>
      <c r="K29" s="1" t="s">
        <v>409</v>
      </c>
      <c r="L29" s="1" t="s">
        <v>410</v>
      </c>
    </row>
    <row r="30" spans="1:12" ht="32">
      <c r="A30" s="1" t="s">
        <v>402</v>
      </c>
      <c r="B30" s="1">
        <v>38</v>
      </c>
      <c r="C30" s="1" t="s">
        <v>639</v>
      </c>
      <c r="D30" s="1" t="s">
        <v>638</v>
      </c>
      <c r="E30" s="1"/>
      <c r="F30" s="1">
        <v>-174</v>
      </c>
      <c r="G30" s="1">
        <v>-167</v>
      </c>
      <c r="H30" s="1"/>
      <c r="I30" s="1">
        <v>7</v>
      </c>
      <c r="J30" s="1"/>
      <c r="K30" s="1" t="s">
        <v>409</v>
      </c>
      <c r="L30" s="1" t="s">
        <v>410</v>
      </c>
    </row>
    <row r="31" spans="1:12" ht="32">
      <c r="A31" s="1" t="s">
        <v>402</v>
      </c>
      <c r="B31" s="1">
        <v>42</v>
      </c>
      <c r="C31" s="1" t="s">
        <v>640</v>
      </c>
      <c r="D31" s="1" t="s">
        <v>638</v>
      </c>
      <c r="E31" s="1"/>
      <c r="F31" s="1">
        <v>-195</v>
      </c>
      <c r="G31" s="1">
        <v>-192</v>
      </c>
      <c r="H31" s="1">
        <v>-193</v>
      </c>
      <c r="I31" s="1">
        <v>3</v>
      </c>
      <c r="J31" s="1">
        <v>-1</v>
      </c>
      <c r="K31" s="1" t="s">
        <v>409</v>
      </c>
      <c r="L31" s="1" t="s">
        <v>410</v>
      </c>
    </row>
    <row r="32" spans="1:12" ht="32">
      <c r="A32" s="1" t="s">
        <v>402</v>
      </c>
      <c r="B32" s="1">
        <v>44</v>
      </c>
      <c r="C32" s="1" t="s">
        <v>641</v>
      </c>
      <c r="D32" s="1" t="s">
        <v>638</v>
      </c>
      <c r="E32" s="1"/>
      <c r="F32" s="1">
        <v>-179</v>
      </c>
      <c r="G32" s="1">
        <v>-177</v>
      </c>
      <c r="H32" s="1">
        <v>-194</v>
      </c>
      <c r="I32" s="1">
        <v>2</v>
      </c>
      <c r="J32" s="1">
        <v>-17</v>
      </c>
      <c r="K32" s="1" t="s">
        <v>409</v>
      </c>
      <c r="L32" s="1" t="s">
        <v>410</v>
      </c>
    </row>
    <row r="33" spans="1:12" ht="32">
      <c r="A33" s="1" t="s">
        <v>402</v>
      </c>
      <c r="B33" s="1">
        <v>45</v>
      </c>
      <c r="C33" s="1" t="s">
        <v>642</v>
      </c>
      <c r="D33" s="1" t="s">
        <v>638</v>
      </c>
      <c r="E33" s="1"/>
      <c r="F33" s="1">
        <v>-174</v>
      </c>
      <c r="G33" s="1">
        <v>-163</v>
      </c>
      <c r="H33" s="1">
        <v>-163</v>
      </c>
      <c r="I33" s="1">
        <v>11</v>
      </c>
      <c r="J33" s="1">
        <v>0</v>
      </c>
      <c r="K33" s="1" t="s">
        <v>409</v>
      </c>
      <c r="L33" s="1" t="s">
        <v>410</v>
      </c>
    </row>
    <row r="34" spans="1:12" ht="32">
      <c r="A34" s="1" t="s">
        <v>402</v>
      </c>
      <c r="B34" s="1">
        <v>47</v>
      </c>
      <c r="C34" s="1" t="s">
        <v>643</v>
      </c>
      <c r="D34" s="1" t="s">
        <v>638</v>
      </c>
      <c r="E34" s="1"/>
      <c r="F34" s="1">
        <v>-200</v>
      </c>
      <c r="G34" s="1">
        <v>-189</v>
      </c>
      <c r="H34" s="1"/>
      <c r="I34" s="1">
        <v>11</v>
      </c>
      <c r="J34" s="1"/>
      <c r="K34" s="1" t="s">
        <v>409</v>
      </c>
      <c r="L34" s="1" t="s">
        <v>410</v>
      </c>
    </row>
    <row r="35" spans="1:12" ht="32">
      <c r="A35" s="1" t="s">
        <v>402</v>
      </c>
      <c r="B35" s="1">
        <v>48</v>
      </c>
      <c r="C35" s="1" t="s">
        <v>644</v>
      </c>
      <c r="D35" s="1" t="s">
        <v>638</v>
      </c>
      <c r="E35" s="1"/>
      <c r="F35" s="1">
        <v>-177</v>
      </c>
      <c r="G35" s="1">
        <v>-170</v>
      </c>
      <c r="H35" s="1"/>
      <c r="I35" s="1">
        <v>7</v>
      </c>
      <c r="J35" s="1"/>
      <c r="K35" s="1" t="s">
        <v>409</v>
      </c>
      <c r="L35" s="1" t="s">
        <v>410</v>
      </c>
    </row>
    <row r="36" spans="1:12" ht="32">
      <c r="A36" s="1" t="s">
        <v>402</v>
      </c>
      <c r="B36" s="1">
        <v>50</v>
      </c>
      <c r="C36" s="1" t="s">
        <v>645</v>
      </c>
      <c r="D36" s="1" t="s">
        <v>638</v>
      </c>
      <c r="E36" s="1"/>
      <c r="F36" s="1">
        <v>-172</v>
      </c>
      <c r="G36" s="1">
        <v>-174</v>
      </c>
      <c r="H36" s="1"/>
      <c r="I36" s="1">
        <v>-2</v>
      </c>
      <c r="J36" s="1"/>
      <c r="K36" s="1" t="s">
        <v>409</v>
      </c>
      <c r="L36" s="1" t="s">
        <v>410</v>
      </c>
    </row>
    <row r="37" spans="1:12" ht="32">
      <c r="A37" s="1" t="s">
        <v>402</v>
      </c>
      <c r="B37" s="1">
        <v>53</v>
      </c>
      <c r="C37" s="1" t="s">
        <v>646</v>
      </c>
      <c r="D37" s="1" t="s">
        <v>638</v>
      </c>
      <c r="E37" s="1"/>
      <c r="F37" s="1">
        <v>-168</v>
      </c>
      <c r="G37" s="1">
        <v>-177</v>
      </c>
      <c r="H37" s="1"/>
      <c r="I37" s="1">
        <v>-9</v>
      </c>
      <c r="J37" s="1"/>
      <c r="K37" s="1" t="s">
        <v>409</v>
      </c>
      <c r="L37" s="1" t="s">
        <v>410</v>
      </c>
    </row>
    <row r="38" spans="1:12" ht="32">
      <c r="A38" s="1" t="s">
        <v>402</v>
      </c>
      <c r="B38" s="1">
        <v>54</v>
      </c>
      <c r="C38" s="1" t="s">
        <v>647</v>
      </c>
      <c r="D38" s="1" t="s">
        <v>638</v>
      </c>
      <c r="E38" s="1"/>
      <c r="F38" s="1">
        <v>-157</v>
      </c>
      <c r="G38" s="1">
        <v>-159</v>
      </c>
      <c r="H38" s="1">
        <v>-168</v>
      </c>
      <c r="I38" s="1">
        <v>-2</v>
      </c>
      <c r="J38" s="1">
        <v>-9</v>
      </c>
      <c r="K38" s="1" t="s">
        <v>409</v>
      </c>
      <c r="L38" s="1" t="s">
        <v>410</v>
      </c>
    </row>
    <row r="39" spans="1:12" ht="32">
      <c r="A39" s="1" t="s">
        <v>402</v>
      </c>
      <c r="B39" s="1">
        <v>55</v>
      </c>
      <c r="C39" s="1" t="s">
        <v>648</v>
      </c>
      <c r="D39" s="1" t="s">
        <v>638</v>
      </c>
      <c r="E39" s="1"/>
      <c r="F39" s="1">
        <v>-163</v>
      </c>
      <c r="G39" s="1">
        <v>-157</v>
      </c>
      <c r="H39" s="1">
        <v>-147</v>
      </c>
      <c r="I39" s="1">
        <v>6</v>
      </c>
      <c r="J39" s="1">
        <v>10</v>
      </c>
      <c r="K39" s="1" t="s">
        <v>409</v>
      </c>
      <c r="L39" s="1" t="s">
        <v>410</v>
      </c>
    </row>
    <row r="40" spans="1:12" ht="32">
      <c r="A40" s="1" t="s">
        <v>402</v>
      </c>
      <c r="B40" s="1">
        <v>63</v>
      </c>
      <c r="C40" s="1" t="s">
        <v>649</v>
      </c>
      <c r="D40" s="1" t="s">
        <v>638</v>
      </c>
      <c r="E40" s="1"/>
      <c r="F40" s="1">
        <v>-193</v>
      </c>
      <c r="G40" s="1">
        <v>-198</v>
      </c>
      <c r="H40" s="1"/>
      <c r="I40" s="1">
        <v>-5</v>
      </c>
      <c r="J40" s="1"/>
      <c r="K40" s="1" t="s">
        <v>409</v>
      </c>
      <c r="L40" s="1" t="s">
        <v>410</v>
      </c>
    </row>
    <row r="41" spans="1:12" ht="32">
      <c r="A41" s="1" t="s">
        <v>402</v>
      </c>
      <c r="B41" s="1">
        <v>66</v>
      </c>
      <c r="C41" s="1" t="s">
        <v>650</v>
      </c>
      <c r="D41" s="1" t="s">
        <v>638</v>
      </c>
      <c r="E41" s="1"/>
      <c r="F41" s="1">
        <v>-162</v>
      </c>
      <c r="G41" s="1">
        <v>-164</v>
      </c>
      <c r="H41" s="1"/>
      <c r="I41" s="1">
        <v>-2</v>
      </c>
      <c r="J41" s="1"/>
      <c r="K41" s="1" t="s">
        <v>409</v>
      </c>
      <c r="L41" s="1" t="s">
        <v>410</v>
      </c>
    </row>
    <row r="42" spans="1:12" ht="32">
      <c r="A42" s="1" t="s">
        <v>402</v>
      </c>
      <c r="B42" s="1">
        <v>71</v>
      </c>
      <c r="C42" s="1" t="s">
        <v>651</v>
      </c>
      <c r="D42" s="1" t="s">
        <v>638</v>
      </c>
      <c r="E42" s="1"/>
      <c r="F42" s="1">
        <v>-160</v>
      </c>
      <c r="G42" s="1">
        <v>-184</v>
      </c>
      <c r="H42" s="1"/>
      <c r="I42" s="1">
        <v>-24</v>
      </c>
      <c r="J42" s="1"/>
      <c r="K42" s="1" t="s">
        <v>409</v>
      </c>
      <c r="L42" s="1" t="s">
        <v>410</v>
      </c>
    </row>
    <row r="43" spans="1:12" ht="32">
      <c r="A43" s="1" t="s">
        <v>402</v>
      </c>
      <c r="B43" s="1">
        <v>76</v>
      </c>
      <c r="C43" s="1" t="s">
        <v>652</v>
      </c>
      <c r="D43" s="1" t="s">
        <v>638</v>
      </c>
      <c r="E43" s="1"/>
      <c r="F43" s="1">
        <v>-186</v>
      </c>
      <c r="G43" s="1">
        <v>-181</v>
      </c>
      <c r="H43" s="1">
        <v>-183</v>
      </c>
      <c r="I43" s="1">
        <v>5</v>
      </c>
      <c r="J43" s="1">
        <v>-2</v>
      </c>
      <c r="K43" s="1" t="s">
        <v>409</v>
      </c>
      <c r="L43" s="1" t="s">
        <v>410</v>
      </c>
    </row>
    <row r="44" spans="1:12" ht="32">
      <c r="A44" s="1" t="s">
        <v>402</v>
      </c>
      <c r="B44" s="1">
        <v>9</v>
      </c>
      <c r="C44" s="1" t="s">
        <v>653</v>
      </c>
      <c r="D44" s="1" t="s">
        <v>654</v>
      </c>
      <c r="E44" s="1">
        <v>-115</v>
      </c>
      <c r="F44" s="1">
        <v>-106</v>
      </c>
      <c r="G44" s="1">
        <v>-141</v>
      </c>
      <c r="H44" s="1"/>
      <c r="I44" s="1">
        <v>-35</v>
      </c>
      <c r="J44" s="1"/>
      <c r="K44" s="1" t="s">
        <v>409</v>
      </c>
      <c r="L44" s="1" t="s">
        <v>410</v>
      </c>
    </row>
    <row r="45" spans="1:12" ht="32">
      <c r="A45" s="1" t="s">
        <v>402</v>
      </c>
      <c r="B45" s="1">
        <v>13</v>
      </c>
      <c r="C45" s="1" t="s">
        <v>655</v>
      </c>
      <c r="D45" s="1" t="s">
        <v>654</v>
      </c>
      <c r="E45" s="1">
        <v>-169</v>
      </c>
      <c r="F45" s="1">
        <v>-168</v>
      </c>
      <c r="G45" s="1">
        <v>-177</v>
      </c>
      <c r="H45" s="1"/>
      <c r="I45" s="1">
        <v>-9</v>
      </c>
      <c r="J45" s="1"/>
      <c r="K45" s="1" t="s">
        <v>409</v>
      </c>
      <c r="L45" s="1" t="s">
        <v>410</v>
      </c>
    </row>
    <row r="46" spans="1:12" ht="32">
      <c r="A46" s="1" t="s">
        <v>402</v>
      </c>
      <c r="B46" s="1">
        <v>14</v>
      </c>
      <c r="C46" s="1" t="s">
        <v>656</v>
      </c>
      <c r="D46" s="1" t="s">
        <v>654</v>
      </c>
      <c r="E46" s="1">
        <v>-183</v>
      </c>
      <c r="F46" s="1">
        <v>-181</v>
      </c>
      <c r="G46" s="1"/>
      <c r="H46" s="1"/>
      <c r="I46" s="1"/>
      <c r="J46" s="1"/>
      <c r="K46" s="1" t="s">
        <v>409</v>
      </c>
      <c r="L46" s="1" t="s">
        <v>410</v>
      </c>
    </row>
    <row r="47" spans="1:12" ht="32">
      <c r="A47" s="1" t="s">
        <v>402</v>
      </c>
      <c r="B47" s="1">
        <v>61</v>
      </c>
      <c r="C47" s="1" t="s">
        <v>657</v>
      </c>
      <c r="D47" s="1" t="s">
        <v>654</v>
      </c>
      <c r="E47" s="1">
        <v>-174</v>
      </c>
      <c r="F47" s="1">
        <v>-163</v>
      </c>
      <c r="G47" s="1">
        <v>-185</v>
      </c>
      <c r="H47" s="1"/>
      <c r="I47" s="1">
        <v>-22</v>
      </c>
      <c r="J47" s="1"/>
      <c r="K47" s="1" t="s">
        <v>409</v>
      </c>
      <c r="L47" s="1" t="s">
        <v>410</v>
      </c>
    </row>
    <row r="48" spans="1:12" ht="32">
      <c r="A48" s="1" t="s">
        <v>402</v>
      </c>
      <c r="B48" s="1">
        <v>62</v>
      </c>
      <c r="C48" s="1" t="s">
        <v>658</v>
      </c>
      <c r="D48" s="1" t="s">
        <v>654</v>
      </c>
      <c r="E48" s="1">
        <v>-180</v>
      </c>
      <c r="F48" s="1">
        <v>-174</v>
      </c>
      <c r="G48" s="1"/>
      <c r="H48" s="1"/>
      <c r="I48" s="1"/>
      <c r="J48" s="1"/>
      <c r="K48" s="1" t="s">
        <v>409</v>
      </c>
      <c r="L48" s="1" t="s">
        <v>410</v>
      </c>
    </row>
    <row r="49" spans="1:12" ht="32">
      <c r="A49" s="1" t="s">
        <v>402</v>
      </c>
      <c r="B49" s="1">
        <v>63</v>
      </c>
      <c r="C49" s="1" t="s">
        <v>659</v>
      </c>
      <c r="D49" s="1" t="s">
        <v>654</v>
      </c>
      <c r="E49" s="1">
        <v>-189</v>
      </c>
      <c r="F49" s="1">
        <v>-185</v>
      </c>
      <c r="G49" s="1"/>
      <c r="H49" s="1"/>
      <c r="I49" s="1"/>
      <c r="J49" s="1"/>
      <c r="K49" s="1" t="s">
        <v>409</v>
      </c>
      <c r="L49" s="1" t="s">
        <v>410</v>
      </c>
    </row>
    <row r="50" spans="1:12" ht="32">
      <c r="A50" s="1" t="s">
        <v>402</v>
      </c>
      <c r="B50" s="1">
        <v>74</v>
      </c>
      <c r="C50" s="1" t="s">
        <v>660</v>
      </c>
      <c r="D50" s="1" t="s">
        <v>654</v>
      </c>
      <c r="E50" s="1">
        <v>-167</v>
      </c>
      <c r="F50" s="1">
        <v>-161</v>
      </c>
      <c r="G50" s="1"/>
      <c r="H50" s="1"/>
      <c r="I50" s="1"/>
      <c r="J50" s="1"/>
      <c r="K50" s="1" t="s">
        <v>409</v>
      </c>
      <c r="L50" s="1" t="s">
        <v>410</v>
      </c>
    </row>
    <row r="51" spans="1:12" ht="32">
      <c r="A51" s="1" t="s">
        <v>402</v>
      </c>
      <c r="B51" s="1">
        <v>11</v>
      </c>
      <c r="C51" s="1" t="s">
        <v>661</v>
      </c>
      <c r="D51" s="1" t="s">
        <v>662</v>
      </c>
      <c r="E51" s="1"/>
      <c r="F51" s="1">
        <v>-155</v>
      </c>
      <c r="G51" s="1">
        <v>-144</v>
      </c>
      <c r="H51" s="1">
        <v>-157</v>
      </c>
      <c r="I51" s="1">
        <v>11</v>
      </c>
      <c r="J51" s="1">
        <v>-13</v>
      </c>
      <c r="K51" s="1" t="s">
        <v>409</v>
      </c>
      <c r="L51" s="1" t="s">
        <v>410</v>
      </c>
    </row>
    <row r="52" spans="1:12" ht="32">
      <c r="A52" s="1" t="s">
        <v>402</v>
      </c>
      <c r="B52" s="1">
        <v>14</v>
      </c>
      <c r="C52" s="1" t="s">
        <v>663</v>
      </c>
      <c r="D52" s="1" t="s">
        <v>662</v>
      </c>
      <c r="E52" s="1"/>
      <c r="F52" s="1">
        <v>-151</v>
      </c>
      <c r="G52" s="1">
        <v>-136</v>
      </c>
      <c r="H52" s="1">
        <v>-127</v>
      </c>
      <c r="I52" s="1">
        <v>15</v>
      </c>
      <c r="J52" s="1">
        <v>9</v>
      </c>
      <c r="K52" s="1" t="s">
        <v>409</v>
      </c>
      <c r="L52" s="1" t="s">
        <v>410</v>
      </c>
    </row>
    <row r="53" spans="1:12" ht="32">
      <c r="A53" s="1" t="s">
        <v>402</v>
      </c>
      <c r="B53" s="1">
        <v>51</v>
      </c>
      <c r="C53" s="1" t="s">
        <v>664</v>
      </c>
      <c r="D53" s="1" t="s">
        <v>662</v>
      </c>
      <c r="E53" s="1"/>
      <c r="F53" s="1">
        <v>-128</v>
      </c>
      <c r="G53" s="1">
        <v>-140</v>
      </c>
      <c r="H53" s="1"/>
      <c r="I53" s="1">
        <v>-12</v>
      </c>
      <c r="J53" s="1"/>
      <c r="K53" s="1" t="s">
        <v>409</v>
      </c>
      <c r="L53" s="1" t="s">
        <v>410</v>
      </c>
    </row>
    <row r="54" spans="1:12" ht="32">
      <c r="A54" s="1" t="s">
        <v>402</v>
      </c>
      <c r="B54" s="1">
        <v>56</v>
      </c>
      <c r="C54" s="1" t="s">
        <v>665</v>
      </c>
      <c r="D54" s="1" t="s">
        <v>662</v>
      </c>
      <c r="E54" s="1"/>
      <c r="F54" s="1">
        <v>-150</v>
      </c>
      <c r="G54" s="1">
        <v>-141</v>
      </c>
      <c r="H54" s="1">
        <v>-138</v>
      </c>
      <c r="I54" s="1">
        <v>9</v>
      </c>
      <c r="J54" s="1">
        <v>3</v>
      </c>
      <c r="K54" s="1" t="s">
        <v>409</v>
      </c>
      <c r="L54" s="1" t="s">
        <v>410</v>
      </c>
    </row>
    <row r="55" spans="1:12" ht="32">
      <c r="A55" s="1" t="s">
        <v>402</v>
      </c>
      <c r="B55" s="1">
        <v>58</v>
      </c>
      <c r="C55" s="1" t="s">
        <v>666</v>
      </c>
      <c r="D55" s="1" t="s">
        <v>662</v>
      </c>
      <c r="E55" s="1"/>
      <c r="F55" s="1">
        <v>-166</v>
      </c>
      <c r="G55" s="1">
        <v>-138</v>
      </c>
      <c r="H55" s="1">
        <v>-116</v>
      </c>
      <c r="I55" s="1">
        <v>28</v>
      </c>
      <c r="J55" s="1">
        <v>22</v>
      </c>
      <c r="K55" s="1" t="s">
        <v>409</v>
      </c>
      <c r="L55" s="1" t="s">
        <v>410</v>
      </c>
    </row>
    <row r="56" spans="1:12" ht="32">
      <c r="A56" s="1" t="s">
        <v>402</v>
      </c>
      <c r="B56" s="1">
        <v>59</v>
      </c>
      <c r="C56" s="1" t="s">
        <v>667</v>
      </c>
      <c r="D56" s="1" t="s">
        <v>662</v>
      </c>
      <c r="E56" s="1"/>
      <c r="F56" s="1">
        <v>-172</v>
      </c>
      <c r="G56" s="1">
        <v>-143</v>
      </c>
      <c r="H56" s="1">
        <v>-149</v>
      </c>
      <c r="I56" s="1">
        <v>29</v>
      </c>
      <c r="J56" s="1">
        <v>-6</v>
      </c>
      <c r="K56" s="1" t="s">
        <v>409</v>
      </c>
      <c r="L56" s="1" t="s">
        <v>410</v>
      </c>
    </row>
    <row r="57" spans="1:12" ht="32">
      <c r="A57" s="1" t="s">
        <v>402</v>
      </c>
      <c r="B57" s="1">
        <v>60</v>
      </c>
      <c r="C57" s="1" t="s">
        <v>668</v>
      </c>
      <c r="D57" s="1" t="s">
        <v>662</v>
      </c>
      <c r="E57" s="1"/>
      <c r="F57" s="1">
        <v>-173</v>
      </c>
      <c r="G57" s="1">
        <v>-155</v>
      </c>
      <c r="H57" s="1">
        <v>-161</v>
      </c>
      <c r="I57" s="1">
        <v>18</v>
      </c>
      <c r="J57" s="1">
        <v>-6</v>
      </c>
      <c r="K57" s="1" t="s">
        <v>409</v>
      </c>
      <c r="L57" s="1" t="s">
        <v>410</v>
      </c>
    </row>
    <row r="58" spans="1:12" ht="32">
      <c r="A58" s="1" t="s">
        <v>402</v>
      </c>
      <c r="B58" s="1">
        <v>61</v>
      </c>
      <c r="C58" s="1" t="s">
        <v>669</v>
      </c>
      <c r="D58" s="1" t="s">
        <v>662</v>
      </c>
      <c r="E58" s="1"/>
      <c r="F58" s="1">
        <v>-163</v>
      </c>
      <c r="G58" s="1">
        <v>-145</v>
      </c>
      <c r="H58" s="1">
        <v>-145</v>
      </c>
      <c r="I58" s="1">
        <v>18</v>
      </c>
      <c r="J58" s="1">
        <v>0</v>
      </c>
      <c r="K58" s="1" t="s">
        <v>409</v>
      </c>
      <c r="L58" s="1" t="s">
        <v>410</v>
      </c>
    </row>
    <row r="59" spans="1:12" ht="32">
      <c r="A59" s="1" t="s">
        <v>402</v>
      </c>
      <c r="B59" s="1">
        <v>73</v>
      </c>
      <c r="C59" s="1" t="s">
        <v>670</v>
      </c>
      <c r="D59" s="1" t="s">
        <v>662</v>
      </c>
      <c r="E59" s="1"/>
      <c r="F59" s="1">
        <v>-167</v>
      </c>
      <c r="G59" s="1">
        <v>-145</v>
      </c>
      <c r="H59" s="1">
        <v>-138</v>
      </c>
      <c r="I59" s="1">
        <v>22</v>
      </c>
      <c r="J59" s="1">
        <v>7</v>
      </c>
      <c r="K59" s="1" t="s">
        <v>409</v>
      </c>
      <c r="L59" s="1" t="s">
        <v>410</v>
      </c>
    </row>
    <row r="60" spans="1:12" ht="32">
      <c r="A60" s="1" t="s">
        <v>402</v>
      </c>
      <c r="B60" s="1">
        <v>5</v>
      </c>
      <c r="C60" s="1" t="s">
        <v>671</v>
      </c>
      <c r="D60" s="1" t="s">
        <v>672</v>
      </c>
      <c r="E60" s="1"/>
      <c r="F60" s="1">
        <v>-163</v>
      </c>
      <c r="G60" s="1">
        <v>-166</v>
      </c>
      <c r="H60" s="1"/>
      <c r="I60" s="1">
        <v>-3</v>
      </c>
      <c r="J60" s="1"/>
      <c r="K60" s="1" t="s">
        <v>409</v>
      </c>
      <c r="L60" s="1" t="s">
        <v>410</v>
      </c>
    </row>
    <row r="61" spans="1:12" ht="32">
      <c r="A61" s="1" t="s">
        <v>402</v>
      </c>
      <c r="B61" s="1">
        <v>7</v>
      </c>
      <c r="C61" s="1" t="s">
        <v>673</v>
      </c>
      <c r="D61" s="1" t="s">
        <v>672</v>
      </c>
      <c r="E61" s="1"/>
      <c r="F61" s="1">
        <v>-163</v>
      </c>
      <c r="G61" s="1">
        <v>-173</v>
      </c>
      <c r="H61" s="1"/>
      <c r="I61" s="1">
        <v>-10</v>
      </c>
      <c r="J61" s="1"/>
      <c r="K61" s="1" t="s">
        <v>409</v>
      </c>
      <c r="L61" s="1" t="s">
        <v>410</v>
      </c>
    </row>
    <row r="62" spans="1:12" ht="32">
      <c r="A62" s="1" t="s">
        <v>402</v>
      </c>
      <c r="B62" s="1">
        <v>15</v>
      </c>
      <c r="C62" s="1" t="s">
        <v>674</v>
      </c>
      <c r="D62" s="1" t="s">
        <v>672</v>
      </c>
      <c r="E62" s="1"/>
      <c r="F62" s="1">
        <v>-154</v>
      </c>
      <c r="G62" s="1">
        <v>-154</v>
      </c>
      <c r="H62" s="1"/>
      <c r="I62" s="1">
        <v>0</v>
      </c>
      <c r="J62" s="1"/>
      <c r="K62" s="1" t="s">
        <v>409</v>
      </c>
      <c r="L62" s="1" t="s">
        <v>410</v>
      </c>
    </row>
    <row r="63" spans="1:12" ht="32">
      <c r="A63" s="1" t="s">
        <v>402</v>
      </c>
      <c r="B63" s="1">
        <v>16</v>
      </c>
      <c r="C63" s="1" t="s">
        <v>675</v>
      </c>
      <c r="D63" s="1" t="s">
        <v>672</v>
      </c>
      <c r="E63" s="1"/>
      <c r="F63" s="1">
        <v>-180</v>
      </c>
      <c r="G63" s="1">
        <v>-193</v>
      </c>
      <c r="H63" s="1"/>
      <c r="I63" s="1">
        <v>-13</v>
      </c>
      <c r="J63" s="1"/>
      <c r="K63" s="1" t="s">
        <v>409</v>
      </c>
      <c r="L63" s="1" t="s">
        <v>410</v>
      </c>
    </row>
    <row r="64" spans="1:12" ht="32">
      <c r="A64" s="1" t="s">
        <v>402</v>
      </c>
      <c r="B64" s="1">
        <v>18</v>
      </c>
      <c r="C64" s="1" t="s">
        <v>676</v>
      </c>
      <c r="D64" s="1" t="s">
        <v>672</v>
      </c>
      <c r="E64" s="1"/>
      <c r="F64" s="1">
        <v>-183</v>
      </c>
      <c r="G64" s="1">
        <v>-186</v>
      </c>
      <c r="H64" s="1"/>
      <c r="I64" s="1">
        <v>-3</v>
      </c>
      <c r="J64" s="1"/>
      <c r="K64" s="1" t="s">
        <v>409</v>
      </c>
      <c r="L64" s="1" t="s">
        <v>410</v>
      </c>
    </row>
    <row r="65" spans="1:12" ht="32">
      <c r="A65" s="1" t="s">
        <v>402</v>
      </c>
      <c r="B65" s="1">
        <v>19</v>
      </c>
      <c r="C65" s="1" t="s">
        <v>677</v>
      </c>
      <c r="D65" s="1" t="s">
        <v>672</v>
      </c>
      <c r="E65" s="1"/>
      <c r="F65" s="1">
        <v>-178</v>
      </c>
      <c r="G65" s="1">
        <v>-187</v>
      </c>
      <c r="H65" s="1"/>
      <c r="I65" s="1">
        <v>-9</v>
      </c>
      <c r="J65" s="1"/>
      <c r="K65" s="1" t="s">
        <v>409</v>
      </c>
      <c r="L65" s="1" t="s">
        <v>410</v>
      </c>
    </row>
    <row r="66" spans="1:12" ht="32">
      <c r="A66" s="1" t="s">
        <v>402</v>
      </c>
      <c r="B66" s="1">
        <v>20</v>
      </c>
      <c r="C66" s="1" t="s">
        <v>678</v>
      </c>
      <c r="D66" s="1" t="s">
        <v>672</v>
      </c>
      <c r="E66" s="1"/>
      <c r="F66" s="1">
        <v>-189</v>
      </c>
      <c r="G66" s="1">
        <v>-195</v>
      </c>
      <c r="H66" s="1"/>
      <c r="I66" s="1">
        <v>-6</v>
      </c>
      <c r="J66" s="1"/>
      <c r="K66" s="1" t="s">
        <v>409</v>
      </c>
      <c r="L66" s="1" t="s">
        <v>410</v>
      </c>
    </row>
    <row r="67" spans="1:12" ht="32">
      <c r="A67" s="1" t="s">
        <v>402</v>
      </c>
      <c r="B67" s="1">
        <v>21</v>
      </c>
      <c r="C67" s="1" t="s">
        <v>679</v>
      </c>
      <c r="D67" s="1" t="s">
        <v>672</v>
      </c>
      <c r="E67" s="1"/>
      <c r="F67" s="1">
        <v>-191</v>
      </c>
      <c r="G67" s="1">
        <v>-202</v>
      </c>
      <c r="H67" s="1"/>
      <c r="I67" s="1">
        <v>-11</v>
      </c>
      <c r="J67" s="1"/>
      <c r="K67" s="1" t="s">
        <v>409</v>
      </c>
      <c r="L67" s="1" t="s">
        <v>410</v>
      </c>
    </row>
    <row r="68" spans="1:12" ht="32">
      <c r="A68" s="1" t="s">
        <v>402</v>
      </c>
      <c r="B68" s="1">
        <v>22</v>
      </c>
      <c r="C68" s="1" t="s">
        <v>680</v>
      </c>
      <c r="D68" s="1" t="s">
        <v>672</v>
      </c>
      <c r="E68" s="1"/>
      <c r="F68" s="1">
        <v>-192</v>
      </c>
      <c r="G68" s="1">
        <v>-204</v>
      </c>
      <c r="H68" s="1"/>
      <c r="I68" s="1">
        <v>-12</v>
      </c>
      <c r="J68" s="1"/>
      <c r="K68" s="1" t="s">
        <v>409</v>
      </c>
      <c r="L68" s="1" t="s">
        <v>410</v>
      </c>
    </row>
    <row r="69" spans="1:12" ht="32">
      <c r="A69" s="1" t="s">
        <v>402</v>
      </c>
      <c r="B69" s="1">
        <v>39</v>
      </c>
      <c r="C69" s="1" t="s">
        <v>681</v>
      </c>
      <c r="D69" s="1" t="s">
        <v>672</v>
      </c>
      <c r="E69" s="1"/>
      <c r="F69" s="1"/>
      <c r="G69" s="1">
        <v>-214</v>
      </c>
      <c r="H69" s="1"/>
      <c r="I69" s="1"/>
      <c r="J69" s="1"/>
      <c r="K69" s="1" t="s">
        <v>409</v>
      </c>
      <c r="L69" s="1" t="s">
        <v>410</v>
      </c>
    </row>
    <row r="70" spans="1:12" ht="32">
      <c r="A70" s="1" t="s">
        <v>402</v>
      </c>
      <c r="B70" s="1">
        <v>42</v>
      </c>
      <c r="C70" s="1" t="s">
        <v>682</v>
      </c>
      <c r="D70" s="1" t="s">
        <v>672</v>
      </c>
      <c r="E70" s="1"/>
      <c r="F70" s="1">
        <v>-203</v>
      </c>
      <c r="G70" s="1">
        <v>-198</v>
      </c>
      <c r="H70" s="1"/>
      <c r="I70" s="1">
        <v>5</v>
      </c>
      <c r="J70" s="1"/>
      <c r="K70" s="1" t="s">
        <v>409</v>
      </c>
      <c r="L70" s="1" t="s">
        <v>410</v>
      </c>
    </row>
    <row r="71" spans="1:12" ht="32">
      <c r="A71" s="1" t="s">
        <v>402</v>
      </c>
      <c r="B71" s="1">
        <v>50</v>
      </c>
      <c r="C71" s="1" t="s">
        <v>683</v>
      </c>
      <c r="D71" s="1" t="s">
        <v>672</v>
      </c>
      <c r="E71" s="1"/>
      <c r="F71" s="1">
        <v>-194</v>
      </c>
      <c r="G71" s="1">
        <v>-189</v>
      </c>
      <c r="H71" s="1"/>
      <c r="I71" s="1">
        <v>5</v>
      </c>
      <c r="J71" s="1"/>
      <c r="K71" s="1" t="s">
        <v>409</v>
      </c>
      <c r="L71" s="1" t="s">
        <v>410</v>
      </c>
    </row>
    <row r="72" spans="1:12" ht="32">
      <c r="A72" s="1" t="s">
        <v>402</v>
      </c>
      <c r="B72" s="1">
        <v>51</v>
      </c>
      <c r="C72" s="1" t="s">
        <v>684</v>
      </c>
      <c r="D72" s="1" t="s">
        <v>672</v>
      </c>
      <c r="E72" s="1"/>
      <c r="F72" s="1">
        <v>-185</v>
      </c>
      <c r="G72" s="1">
        <v>-179</v>
      </c>
      <c r="H72" s="1"/>
      <c r="I72" s="1">
        <v>6</v>
      </c>
      <c r="J72" s="1"/>
      <c r="K72" s="1" t="s">
        <v>409</v>
      </c>
      <c r="L72" s="1" t="s">
        <v>410</v>
      </c>
    </row>
    <row r="73" spans="1:12" ht="32">
      <c r="A73" s="1" t="s">
        <v>402</v>
      </c>
      <c r="B73" s="1">
        <v>53</v>
      </c>
      <c r="C73" s="1" t="s">
        <v>685</v>
      </c>
      <c r="D73" s="1" t="s">
        <v>672</v>
      </c>
      <c r="E73" s="1"/>
      <c r="F73" s="1">
        <v>-199</v>
      </c>
      <c r="G73" s="1">
        <v>-202</v>
      </c>
      <c r="H73" s="1"/>
      <c r="I73" s="1">
        <v>-3</v>
      </c>
      <c r="J73" s="1"/>
      <c r="K73" s="1" t="s">
        <v>409</v>
      </c>
      <c r="L73" s="1" t="s">
        <v>410</v>
      </c>
    </row>
    <row r="74" spans="1:12" ht="32">
      <c r="A74" s="1" t="s">
        <v>402</v>
      </c>
      <c r="B74" s="1">
        <v>54</v>
      </c>
      <c r="C74" s="1" t="s">
        <v>686</v>
      </c>
      <c r="D74" s="1" t="s">
        <v>672</v>
      </c>
      <c r="E74" s="1"/>
      <c r="F74" s="1"/>
      <c r="G74" s="1">
        <v>-189</v>
      </c>
      <c r="H74" s="1"/>
      <c r="I74" s="1"/>
      <c r="J74" s="1"/>
      <c r="K74" s="1" t="s">
        <v>409</v>
      </c>
      <c r="L74" s="1" t="s">
        <v>410</v>
      </c>
    </row>
    <row r="75" spans="1:12" ht="32">
      <c r="A75" s="1" t="s">
        <v>402</v>
      </c>
      <c r="B75" s="1">
        <v>55</v>
      </c>
      <c r="C75" s="1" t="s">
        <v>687</v>
      </c>
      <c r="D75" s="1" t="s">
        <v>672</v>
      </c>
      <c r="E75" s="1"/>
      <c r="F75" s="1">
        <v>-176</v>
      </c>
      <c r="G75" s="1">
        <v>-169</v>
      </c>
      <c r="H75" s="1"/>
      <c r="I75" s="1">
        <v>7</v>
      </c>
      <c r="J75" s="1"/>
      <c r="K75" s="1" t="s">
        <v>409</v>
      </c>
      <c r="L75" s="1" t="s">
        <v>410</v>
      </c>
    </row>
    <row r="76" spans="1:12" ht="32">
      <c r="A76" s="1" t="s">
        <v>402</v>
      </c>
      <c r="B76" s="1">
        <v>63</v>
      </c>
      <c r="C76" s="1" t="s">
        <v>688</v>
      </c>
      <c r="D76" s="1" t="s">
        <v>672</v>
      </c>
      <c r="E76" s="1"/>
      <c r="F76" s="1">
        <v>-186</v>
      </c>
      <c r="G76" s="1">
        <v>-193</v>
      </c>
      <c r="H76" s="1"/>
      <c r="I76" s="1">
        <v>-7</v>
      </c>
      <c r="J76" s="1"/>
      <c r="K76" s="1" t="s">
        <v>409</v>
      </c>
      <c r="L76" s="1" t="s">
        <v>410</v>
      </c>
    </row>
    <row r="77" spans="1:12" ht="32">
      <c r="A77" s="1" t="s">
        <v>402</v>
      </c>
      <c r="B77" s="1">
        <v>64</v>
      </c>
      <c r="C77" s="1" t="s">
        <v>689</v>
      </c>
      <c r="D77" s="1" t="s">
        <v>672</v>
      </c>
      <c r="E77" s="1"/>
      <c r="F77" s="1">
        <v>-193</v>
      </c>
      <c r="G77" s="1">
        <v>-221</v>
      </c>
      <c r="H77" s="1"/>
      <c r="I77" s="1">
        <v>-28</v>
      </c>
      <c r="J77" s="1"/>
      <c r="K77" s="1" t="s">
        <v>409</v>
      </c>
      <c r="L77" s="1" t="s">
        <v>410</v>
      </c>
    </row>
    <row r="78" spans="1:12" ht="32">
      <c r="A78" s="1" t="s">
        <v>402</v>
      </c>
      <c r="B78" s="1">
        <v>71</v>
      </c>
      <c r="C78" s="1" t="s">
        <v>690</v>
      </c>
      <c r="D78" s="1" t="s">
        <v>672</v>
      </c>
      <c r="E78" s="1"/>
      <c r="F78" s="1">
        <v>-184</v>
      </c>
      <c r="G78" s="1">
        <v>-196</v>
      </c>
      <c r="H78" s="1"/>
      <c r="I78" s="1">
        <v>-12</v>
      </c>
      <c r="J78" s="1"/>
      <c r="K78" s="1" t="s">
        <v>409</v>
      </c>
      <c r="L78" s="1" t="s">
        <v>410</v>
      </c>
    </row>
    <row r="79" spans="1:12" ht="32">
      <c r="A79" s="1" t="s">
        <v>402</v>
      </c>
      <c r="B79" s="1">
        <v>75</v>
      </c>
      <c r="C79" s="1" t="s">
        <v>691</v>
      </c>
      <c r="D79" s="1" t="s">
        <v>672</v>
      </c>
      <c r="E79" s="1"/>
      <c r="F79" s="1">
        <v>-179</v>
      </c>
      <c r="G79" s="1">
        <v>-162</v>
      </c>
      <c r="H79" s="1"/>
      <c r="I79" s="1">
        <v>17</v>
      </c>
      <c r="J79" s="1"/>
      <c r="K79" s="1" t="s">
        <v>409</v>
      </c>
      <c r="L79" s="1" t="s">
        <v>410</v>
      </c>
    </row>
    <row r="80" spans="1:12" ht="32">
      <c r="A80" s="1" t="s">
        <v>402</v>
      </c>
      <c r="B80" s="1">
        <v>5</v>
      </c>
      <c r="C80" s="1" t="s">
        <v>692</v>
      </c>
      <c r="D80" s="1" t="s">
        <v>693</v>
      </c>
      <c r="E80" s="1"/>
      <c r="F80" s="1">
        <v>-130</v>
      </c>
      <c r="G80" s="1">
        <v>-121</v>
      </c>
      <c r="H80" s="1">
        <v>-125</v>
      </c>
      <c r="I80" s="1">
        <v>9</v>
      </c>
      <c r="J80" s="1">
        <v>-4</v>
      </c>
      <c r="K80" s="1" t="s">
        <v>409</v>
      </c>
      <c r="L80" s="1" t="s">
        <v>410</v>
      </c>
    </row>
    <row r="81" spans="1:12" ht="32">
      <c r="A81" s="1" t="s">
        <v>402</v>
      </c>
      <c r="B81" s="1">
        <v>10</v>
      </c>
      <c r="C81" s="1" t="s">
        <v>694</v>
      </c>
      <c r="D81" s="1" t="s">
        <v>693</v>
      </c>
      <c r="E81" s="1"/>
      <c r="F81" s="1">
        <v>-150</v>
      </c>
      <c r="G81" s="1">
        <v>-146</v>
      </c>
      <c r="H81" s="1"/>
      <c r="I81" s="1">
        <v>4</v>
      </c>
      <c r="J81" s="1"/>
      <c r="K81" s="1" t="s">
        <v>409</v>
      </c>
      <c r="L81" s="1" t="s">
        <v>410</v>
      </c>
    </row>
    <row r="82" spans="1:12" ht="32">
      <c r="A82" s="1" t="s">
        <v>402</v>
      </c>
      <c r="B82" s="1">
        <v>12</v>
      </c>
      <c r="C82" s="1" t="s">
        <v>695</v>
      </c>
      <c r="D82" s="1" t="s">
        <v>693</v>
      </c>
      <c r="E82" s="1"/>
      <c r="F82" s="1">
        <v>-146</v>
      </c>
      <c r="G82" s="1">
        <v>-136</v>
      </c>
      <c r="H82" s="1">
        <v>-144</v>
      </c>
      <c r="I82" s="1">
        <v>10</v>
      </c>
      <c r="J82" s="1">
        <v>-8</v>
      </c>
      <c r="K82" s="1" t="s">
        <v>409</v>
      </c>
      <c r="L82" s="1" t="s">
        <v>410</v>
      </c>
    </row>
    <row r="83" spans="1:12" ht="32">
      <c r="A83" s="1" t="s">
        <v>402</v>
      </c>
      <c r="B83" s="1">
        <v>13</v>
      </c>
      <c r="C83" s="1" t="s">
        <v>696</v>
      </c>
      <c r="D83" s="1" t="s">
        <v>693</v>
      </c>
      <c r="E83" s="1"/>
      <c r="F83" s="1">
        <v>-131</v>
      </c>
      <c r="G83" s="1">
        <v>-121</v>
      </c>
      <c r="H83" s="1">
        <v>-137</v>
      </c>
      <c r="I83" s="1">
        <v>10</v>
      </c>
      <c r="J83" s="1">
        <v>-16</v>
      </c>
      <c r="K83" s="1" t="s">
        <v>409</v>
      </c>
      <c r="L83" s="1" t="s">
        <v>410</v>
      </c>
    </row>
    <row r="84" spans="1:12" ht="32">
      <c r="A84" s="1" t="s">
        <v>402</v>
      </c>
      <c r="B84" s="1">
        <v>14</v>
      </c>
      <c r="C84" s="1" t="s">
        <v>697</v>
      </c>
      <c r="D84" s="1" t="s">
        <v>693</v>
      </c>
      <c r="E84" s="1"/>
      <c r="F84" s="1">
        <v>-130</v>
      </c>
      <c r="G84" s="1">
        <v>-122</v>
      </c>
      <c r="H84" s="1">
        <v>-125</v>
      </c>
      <c r="I84" s="1">
        <v>8</v>
      </c>
      <c r="J84" s="1">
        <v>-3</v>
      </c>
      <c r="K84" s="1" t="s">
        <v>409</v>
      </c>
      <c r="L84" s="1" t="s">
        <v>410</v>
      </c>
    </row>
    <row r="85" spans="1:12" ht="32">
      <c r="A85" s="1" t="s">
        <v>402</v>
      </c>
      <c r="B85" s="1">
        <v>17</v>
      </c>
      <c r="C85" s="1" t="s">
        <v>698</v>
      </c>
      <c r="D85" s="1" t="s">
        <v>693</v>
      </c>
      <c r="E85" s="1"/>
      <c r="F85" s="1">
        <v>-138</v>
      </c>
      <c r="G85" s="1">
        <v>-113</v>
      </c>
      <c r="H85" s="1">
        <v>-110</v>
      </c>
      <c r="I85" s="1">
        <v>25</v>
      </c>
      <c r="J85" s="1">
        <v>3</v>
      </c>
      <c r="K85" s="1" t="s">
        <v>409</v>
      </c>
      <c r="L85" s="1" t="s">
        <v>410</v>
      </c>
    </row>
    <row r="86" spans="1:12" ht="32">
      <c r="A86" s="1" t="s">
        <v>402</v>
      </c>
      <c r="B86" s="1">
        <v>17</v>
      </c>
      <c r="C86" s="1" t="s">
        <v>699</v>
      </c>
      <c r="D86" s="1" t="s">
        <v>693</v>
      </c>
      <c r="E86" s="1"/>
      <c r="F86" s="1">
        <v>-101</v>
      </c>
      <c r="G86" s="1">
        <v>-79</v>
      </c>
      <c r="H86" s="1">
        <v>-93</v>
      </c>
      <c r="I86" s="1">
        <v>22</v>
      </c>
      <c r="J86" s="1">
        <v>-14</v>
      </c>
      <c r="K86" s="1" t="s">
        <v>409</v>
      </c>
      <c r="L86" s="1" t="s">
        <v>410</v>
      </c>
    </row>
    <row r="87" spans="1:12" ht="32">
      <c r="A87" s="1" t="s">
        <v>402</v>
      </c>
      <c r="B87" s="1">
        <v>18</v>
      </c>
      <c r="C87" s="1" t="s">
        <v>700</v>
      </c>
      <c r="D87" s="1" t="s">
        <v>693</v>
      </c>
      <c r="E87" s="1"/>
      <c r="F87" s="1">
        <v>-192</v>
      </c>
      <c r="G87" s="1">
        <v>-197</v>
      </c>
      <c r="H87" s="1"/>
      <c r="I87" s="1">
        <v>-5</v>
      </c>
      <c r="J87" s="1"/>
      <c r="K87" s="1" t="s">
        <v>409</v>
      </c>
      <c r="L87" s="1" t="s">
        <v>410</v>
      </c>
    </row>
    <row r="88" spans="1:12" ht="32">
      <c r="A88" s="1" t="s">
        <v>402</v>
      </c>
      <c r="B88" s="1">
        <v>19</v>
      </c>
      <c r="C88" s="1" t="s">
        <v>701</v>
      </c>
      <c r="D88" s="1" t="s">
        <v>693</v>
      </c>
      <c r="E88" s="1"/>
      <c r="F88" s="1">
        <v>-190</v>
      </c>
      <c r="G88" s="1">
        <v>-211</v>
      </c>
      <c r="H88" s="1"/>
      <c r="I88" s="1">
        <v>-21</v>
      </c>
      <c r="J88" s="1"/>
      <c r="K88" s="1" t="s">
        <v>409</v>
      </c>
      <c r="L88" s="1" t="s">
        <v>410</v>
      </c>
    </row>
    <row r="89" spans="1:12" ht="32">
      <c r="A89" s="1" t="s">
        <v>402</v>
      </c>
      <c r="B89" s="1">
        <v>59</v>
      </c>
      <c r="C89" s="1" t="s">
        <v>702</v>
      </c>
      <c r="D89" s="1" t="s">
        <v>693</v>
      </c>
      <c r="E89" s="1"/>
      <c r="F89" s="1">
        <v>-157</v>
      </c>
      <c r="G89" s="1">
        <v>-136</v>
      </c>
      <c r="H89" s="1">
        <v>-156</v>
      </c>
      <c r="I89" s="1">
        <v>21</v>
      </c>
      <c r="J89" s="1">
        <v>-20</v>
      </c>
      <c r="K89" s="1" t="s">
        <v>409</v>
      </c>
      <c r="L89" s="1" t="s">
        <v>410</v>
      </c>
    </row>
    <row r="90" spans="1:12" ht="32">
      <c r="A90" s="1" t="s">
        <v>402</v>
      </c>
      <c r="B90" s="1">
        <v>65</v>
      </c>
      <c r="C90" s="1" t="s">
        <v>703</v>
      </c>
      <c r="D90" s="1" t="s">
        <v>693</v>
      </c>
      <c r="E90" s="1"/>
      <c r="F90" s="1">
        <v>-125</v>
      </c>
      <c r="G90" s="1">
        <v>-122</v>
      </c>
      <c r="H90" s="1">
        <v>-129</v>
      </c>
      <c r="I90" s="1">
        <v>3</v>
      </c>
      <c r="J90" s="1">
        <v>-7</v>
      </c>
      <c r="K90" s="1" t="s">
        <v>409</v>
      </c>
      <c r="L90" s="1" t="s">
        <v>410</v>
      </c>
    </row>
    <row r="91" spans="1:12" ht="32">
      <c r="A91" s="1" t="s">
        <v>402</v>
      </c>
      <c r="B91" s="1">
        <v>66</v>
      </c>
      <c r="C91" s="1" t="s">
        <v>704</v>
      </c>
      <c r="D91" s="1" t="s">
        <v>693</v>
      </c>
      <c r="E91" s="1"/>
      <c r="F91" s="1">
        <v>-140</v>
      </c>
      <c r="G91" s="1">
        <v>-138</v>
      </c>
      <c r="H91" s="1"/>
      <c r="I91" s="1">
        <v>2</v>
      </c>
      <c r="J91" s="1"/>
      <c r="K91" s="1" t="s">
        <v>409</v>
      </c>
      <c r="L91" s="1" t="s">
        <v>410</v>
      </c>
    </row>
    <row r="92" spans="1:12" ht="32">
      <c r="A92" s="1" t="s">
        <v>402</v>
      </c>
      <c r="B92" s="1">
        <v>67</v>
      </c>
      <c r="C92" s="1" t="s">
        <v>705</v>
      </c>
      <c r="D92" s="1" t="s">
        <v>693</v>
      </c>
      <c r="E92" s="1"/>
      <c r="F92" s="1">
        <v>-127</v>
      </c>
      <c r="G92" s="1">
        <v>-126</v>
      </c>
      <c r="H92" s="1">
        <v>-122</v>
      </c>
      <c r="I92" s="1">
        <v>1</v>
      </c>
      <c r="J92" s="1">
        <v>4</v>
      </c>
      <c r="K92" s="1" t="s">
        <v>409</v>
      </c>
      <c r="L92" s="1" t="s">
        <v>410</v>
      </c>
    </row>
    <row r="93" spans="1:12" ht="32">
      <c r="A93" s="1" t="s">
        <v>402</v>
      </c>
      <c r="B93" s="1">
        <v>68</v>
      </c>
      <c r="C93" s="1" t="s">
        <v>706</v>
      </c>
      <c r="D93" s="1" t="s">
        <v>693</v>
      </c>
      <c r="E93" s="1"/>
      <c r="F93" s="1">
        <v>-145</v>
      </c>
      <c r="G93" s="1">
        <v>-140</v>
      </c>
      <c r="H93" s="1">
        <v>-138</v>
      </c>
      <c r="I93" s="1">
        <v>5</v>
      </c>
      <c r="J93" s="1">
        <v>2</v>
      </c>
      <c r="K93" s="1" t="s">
        <v>409</v>
      </c>
      <c r="L93" s="1" t="s">
        <v>410</v>
      </c>
    </row>
    <row r="94" spans="1:12" ht="32">
      <c r="A94" s="1" t="s">
        <v>402</v>
      </c>
      <c r="B94" s="1">
        <v>69</v>
      </c>
      <c r="C94" s="1" t="s">
        <v>707</v>
      </c>
      <c r="D94" s="1" t="s">
        <v>693</v>
      </c>
      <c r="E94" s="1"/>
      <c r="F94" s="1">
        <v>-152</v>
      </c>
      <c r="G94" s="1">
        <v>-151</v>
      </c>
      <c r="H94" s="1">
        <v>-134</v>
      </c>
      <c r="I94" s="1">
        <v>1</v>
      </c>
      <c r="J94" s="1">
        <v>17</v>
      </c>
      <c r="K94" s="1" t="s">
        <v>409</v>
      </c>
      <c r="L94" s="1" t="s">
        <v>410</v>
      </c>
    </row>
    <row r="95" spans="1:12" ht="32">
      <c r="A95" s="1" t="s">
        <v>402</v>
      </c>
      <c r="B95" s="1">
        <v>72</v>
      </c>
      <c r="C95" s="1" t="s">
        <v>708</v>
      </c>
      <c r="D95" s="1" t="s">
        <v>693</v>
      </c>
      <c r="E95" s="1"/>
      <c r="F95" s="1">
        <v>-140</v>
      </c>
      <c r="G95" s="1">
        <v>-130</v>
      </c>
      <c r="H95" s="1">
        <v>-124</v>
      </c>
      <c r="I95" s="1">
        <v>10</v>
      </c>
      <c r="J95" s="1">
        <v>6</v>
      </c>
      <c r="K95" s="1" t="s">
        <v>409</v>
      </c>
      <c r="L95" s="1" t="s">
        <v>410</v>
      </c>
    </row>
    <row r="96" spans="1:12" ht="32">
      <c r="A96" s="1" t="s">
        <v>402</v>
      </c>
      <c r="B96" s="1">
        <v>74</v>
      </c>
      <c r="C96" s="1" t="s">
        <v>709</v>
      </c>
      <c r="D96" s="1" t="s">
        <v>693</v>
      </c>
      <c r="E96" s="1"/>
      <c r="F96" s="1">
        <v>-116</v>
      </c>
      <c r="G96" s="1">
        <v>-114</v>
      </c>
      <c r="H96" s="1">
        <v>-99</v>
      </c>
      <c r="I96" s="1">
        <v>2</v>
      </c>
      <c r="J96" s="1">
        <v>15</v>
      </c>
      <c r="K96" s="1" t="s">
        <v>409</v>
      </c>
      <c r="L96" s="1" t="s">
        <v>410</v>
      </c>
    </row>
    <row r="97" spans="1:12" ht="32">
      <c r="A97" s="1" t="s">
        <v>402</v>
      </c>
      <c r="B97" s="1">
        <v>76</v>
      </c>
      <c r="C97" s="1" t="s">
        <v>710</v>
      </c>
      <c r="D97" s="1" t="s">
        <v>693</v>
      </c>
      <c r="E97" s="1"/>
      <c r="F97" s="1">
        <v>-133</v>
      </c>
      <c r="G97" s="1">
        <v>-140</v>
      </c>
      <c r="H97" s="1">
        <v>-133</v>
      </c>
      <c r="I97" s="1">
        <v>-7</v>
      </c>
      <c r="J97" s="1">
        <v>7</v>
      </c>
      <c r="K97" s="1" t="s">
        <v>409</v>
      </c>
      <c r="L97" s="1" t="s">
        <v>410</v>
      </c>
    </row>
    <row r="98" spans="1:12" ht="32">
      <c r="A98" s="1" t="s">
        <v>402</v>
      </c>
      <c r="B98" s="1">
        <v>77</v>
      </c>
      <c r="C98" s="1" t="s">
        <v>711</v>
      </c>
      <c r="D98" s="1" t="s">
        <v>693</v>
      </c>
      <c r="E98" s="1"/>
      <c r="F98" s="1">
        <v>-134</v>
      </c>
      <c r="G98" s="1">
        <v>-132</v>
      </c>
      <c r="H98" s="1">
        <v>-127</v>
      </c>
      <c r="I98" s="1">
        <v>2</v>
      </c>
      <c r="J98" s="1">
        <v>5</v>
      </c>
      <c r="K98" s="1" t="s">
        <v>409</v>
      </c>
      <c r="L98" s="1" t="s">
        <v>410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8"/>
  <sheetViews>
    <sheetView workbookViewId="0">
      <selection activeCell="N1" sqref="N1:O1048576"/>
    </sheetView>
  </sheetViews>
  <sheetFormatPr baseColWidth="10" defaultColWidth="8.83203125" defaultRowHeight="15"/>
  <cols>
    <col min="1" max="3" width="16" customWidth="1"/>
    <col min="4" max="4" width="22" customWidth="1"/>
    <col min="5" max="12" width="16" customWidth="1"/>
    <col min="13" max="13" width="42" customWidth="1"/>
  </cols>
  <sheetData>
    <row r="1" spans="1:13" ht="48">
      <c r="A1" s="2" t="s">
        <v>30</v>
      </c>
      <c r="B1" s="2" t="s">
        <v>601</v>
      </c>
      <c r="C1" s="2" t="s">
        <v>712</v>
      </c>
      <c r="D1" s="2" t="s">
        <v>280</v>
      </c>
      <c r="E1" s="2" t="s">
        <v>713</v>
      </c>
      <c r="F1" s="2" t="s">
        <v>714</v>
      </c>
      <c r="G1" s="2" t="s">
        <v>715</v>
      </c>
      <c r="H1" s="2" t="s">
        <v>716</v>
      </c>
      <c r="I1" s="2" t="s">
        <v>717</v>
      </c>
      <c r="J1" s="2" t="s">
        <v>718</v>
      </c>
      <c r="K1" s="2" t="s">
        <v>719</v>
      </c>
      <c r="L1" s="2" t="s">
        <v>56</v>
      </c>
      <c r="M1" s="2" t="s">
        <v>57</v>
      </c>
    </row>
    <row r="2" spans="1:13" ht="32">
      <c r="A2" s="1" t="s">
        <v>24</v>
      </c>
      <c r="B2" s="1" t="s">
        <v>720</v>
      </c>
      <c r="C2" s="1" t="s">
        <v>721</v>
      </c>
      <c r="D2" s="1" t="s">
        <v>722</v>
      </c>
      <c r="E2" s="1" t="s">
        <v>723</v>
      </c>
      <c r="F2" s="1">
        <v>-155</v>
      </c>
      <c r="G2" s="1">
        <v>2</v>
      </c>
      <c r="H2" s="1">
        <v>3</v>
      </c>
      <c r="I2" s="1">
        <v>-155</v>
      </c>
      <c r="J2" s="1">
        <v>2</v>
      </c>
      <c r="K2" s="1">
        <v>3</v>
      </c>
      <c r="L2" s="1" t="s">
        <v>365</v>
      </c>
      <c r="M2" s="1" t="s">
        <v>366</v>
      </c>
    </row>
    <row r="3" spans="1:13" ht="32">
      <c r="A3" s="1" t="s">
        <v>24</v>
      </c>
      <c r="B3" s="1" t="s">
        <v>720</v>
      </c>
      <c r="C3" s="1" t="s">
        <v>721</v>
      </c>
      <c r="D3" s="1" t="s">
        <v>722</v>
      </c>
      <c r="E3" s="1" t="s">
        <v>724</v>
      </c>
      <c r="F3" s="1">
        <v>-147</v>
      </c>
      <c r="G3" s="1">
        <v>8</v>
      </c>
      <c r="H3" s="1">
        <v>3</v>
      </c>
      <c r="I3" s="1">
        <v>-143</v>
      </c>
      <c r="J3" s="1">
        <v>12</v>
      </c>
      <c r="K3" s="1">
        <v>3</v>
      </c>
      <c r="L3" s="1" t="s">
        <v>365</v>
      </c>
      <c r="M3" s="1" t="s">
        <v>366</v>
      </c>
    </row>
    <row r="4" spans="1:13" ht="32">
      <c r="A4" s="1" t="s">
        <v>24</v>
      </c>
      <c r="B4" s="1" t="s">
        <v>720</v>
      </c>
      <c r="C4" s="1" t="s">
        <v>721</v>
      </c>
      <c r="D4" s="1" t="s">
        <v>725</v>
      </c>
      <c r="E4" s="1" t="s">
        <v>724</v>
      </c>
      <c r="F4" s="1">
        <v>-92</v>
      </c>
      <c r="G4" s="1">
        <v>3</v>
      </c>
      <c r="H4" s="1">
        <v>3</v>
      </c>
      <c r="I4" s="1">
        <v>-96</v>
      </c>
      <c r="J4" s="1">
        <v>4</v>
      </c>
      <c r="K4" s="1">
        <v>3</v>
      </c>
      <c r="L4" s="1" t="s">
        <v>365</v>
      </c>
      <c r="M4" s="1" t="s">
        <v>366</v>
      </c>
    </row>
    <row r="5" spans="1:13" ht="32">
      <c r="A5" s="1" t="s">
        <v>24</v>
      </c>
      <c r="B5" s="1" t="s">
        <v>720</v>
      </c>
      <c r="C5" s="1" t="s">
        <v>721</v>
      </c>
      <c r="D5" s="1" t="s">
        <v>726</v>
      </c>
      <c r="E5" s="1" t="s">
        <v>724</v>
      </c>
      <c r="F5" s="1">
        <v>-151</v>
      </c>
      <c r="G5" s="1">
        <v>33</v>
      </c>
      <c r="H5" s="1">
        <v>3</v>
      </c>
      <c r="I5" s="1">
        <v>-144</v>
      </c>
      <c r="J5" s="1">
        <v>26</v>
      </c>
      <c r="K5" s="1">
        <v>3</v>
      </c>
      <c r="L5" s="1" t="s">
        <v>365</v>
      </c>
      <c r="M5" s="1" t="s">
        <v>366</v>
      </c>
    </row>
    <row r="6" spans="1:13" ht="32">
      <c r="A6" s="1" t="s">
        <v>24</v>
      </c>
      <c r="B6" s="1" t="s">
        <v>720</v>
      </c>
      <c r="C6" s="1" t="s">
        <v>721</v>
      </c>
      <c r="D6" s="1" t="s">
        <v>727</v>
      </c>
      <c r="E6" s="1" t="s">
        <v>723</v>
      </c>
      <c r="F6" s="1">
        <v>-177</v>
      </c>
      <c r="G6" s="1">
        <v>7</v>
      </c>
      <c r="H6" s="1">
        <v>3</v>
      </c>
      <c r="I6" s="1">
        <v>-179</v>
      </c>
      <c r="J6" s="1">
        <v>8</v>
      </c>
      <c r="K6" s="1">
        <v>3</v>
      </c>
      <c r="L6" s="1" t="s">
        <v>365</v>
      </c>
      <c r="M6" s="1" t="s">
        <v>366</v>
      </c>
    </row>
    <row r="7" spans="1:13" ht="32">
      <c r="A7" s="1" t="s">
        <v>24</v>
      </c>
      <c r="B7" s="1" t="s">
        <v>720</v>
      </c>
      <c r="C7" s="1" t="s">
        <v>721</v>
      </c>
      <c r="D7" s="1" t="s">
        <v>727</v>
      </c>
      <c r="E7" s="1" t="s">
        <v>724</v>
      </c>
      <c r="F7" s="1">
        <v>-166</v>
      </c>
      <c r="G7" s="1">
        <v>15</v>
      </c>
      <c r="H7" s="1">
        <v>4</v>
      </c>
      <c r="I7" s="1">
        <v>-148</v>
      </c>
      <c r="J7" s="1">
        <v>10</v>
      </c>
      <c r="K7" s="1">
        <v>4</v>
      </c>
      <c r="L7" s="1" t="s">
        <v>365</v>
      </c>
      <c r="M7" s="1" t="s">
        <v>366</v>
      </c>
    </row>
    <row r="8" spans="1:13" ht="32">
      <c r="A8" s="1" t="s">
        <v>24</v>
      </c>
      <c r="B8" s="1" t="s">
        <v>720</v>
      </c>
      <c r="C8" s="1" t="s">
        <v>721</v>
      </c>
      <c r="D8" s="1" t="s">
        <v>728</v>
      </c>
      <c r="E8" s="1" t="s">
        <v>723</v>
      </c>
      <c r="F8" s="1">
        <v>-151</v>
      </c>
      <c r="G8" s="1">
        <v>4</v>
      </c>
      <c r="H8" s="1">
        <v>3</v>
      </c>
      <c r="I8" s="1">
        <v>-152</v>
      </c>
      <c r="J8" s="1">
        <v>5</v>
      </c>
      <c r="K8" s="1">
        <v>3</v>
      </c>
      <c r="L8" s="1" t="s">
        <v>365</v>
      </c>
      <c r="M8" s="1" t="s">
        <v>366</v>
      </c>
    </row>
    <row r="9" spans="1:13" ht="32">
      <c r="A9" s="1" t="s">
        <v>24</v>
      </c>
      <c r="B9" s="1" t="s">
        <v>720</v>
      </c>
      <c r="C9" s="1" t="s">
        <v>721</v>
      </c>
      <c r="D9" s="1" t="s">
        <v>728</v>
      </c>
      <c r="E9" s="1" t="s">
        <v>724</v>
      </c>
      <c r="F9" s="1">
        <v>-171</v>
      </c>
      <c r="G9" s="1">
        <v>8</v>
      </c>
      <c r="H9" s="1">
        <v>3</v>
      </c>
      <c r="I9" s="1">
        <v>-162</v>
      </c>
      <c r="J9" s="1">
        <v>5</v>
      </c>
      <c r="K9" s="1">
        <v>3</v>
      </c>
      <c r="L9" s="1" t="s">
        <v>365</v>
      </c>
      <c r="M9" s="1" t="s">
        <v>366</v>
      </c>
    </row>
    <row r="10" spans="1:13" ht="32">
      <c r="A10" s="1" t="s">
        <v>24</v>
      </c>
      <c r="B10" s="1" t="s">
        <v>720</v>
      </c>
      <c r="C10" s="1" t="s">
        <v>729</v>
      </c>
      <c r="D10" s="1" t="s">
        <v>730</v>
      </c>
      <c r="E10" s="1" t="s">
        <v>723</v>
      </c>
      <c r="F10" s="1">
        <v>-156</v>
      </c>
      <c r="G10" s="1">
        <v>38</v>
      </c>
      <c r="H10" s="1">
        <v>6</v>
      </c>
      <c r="I10" s="1">
        <v>-154</v>
      </c>
      <c r="J10" s="1">
        <v>35</v>
      </c>
      <c r="K10" s="1">
        <v>6</v>
      </c>
      <c r="L10" s="1" t="s">
        <v>365</v>
      </c>
      <c r="M10" s="1" t="s">
        <v>366</v>
      </c>
    </row>
    <row r="11" spans="1:13" ht="32">
      <c r="A11" s="1" t="s">
        <v>24</v>
      </c>
      <c r="B11" s="1" t="s">
        <v>720</v>
      </c>
      <c r="C11" s="1" t="s">
        <v>729</v>
      </c>
      <c r="D11" s="1" t="s">
        <v>730</v>
      </c>
      <c r="E11" s="1" t="s">
        <v>724</v>
      </c>
      <c r="F11" s="1">
        <v>-169</v>
      </c>
      <c r="G11" s="1">
        <v>11</v>
      </c>
      <c r="H11" s="1">
        <v>7</v>
      </c>
      <c r="I11" s="1">
        <v>-168</v>
      </c>
      <c r="J11" s="1">
        <v>10</v>
      </c>
      <c r="K11" s="1">
        <v>7</v>
      </c>
      <c r="L11" s="1" t="s">
        <v>365</v>
      </c>
      <c r="M11" s="1" t="s">
        <v>366</v>
      </c>
    </row>
    <row r="12" spans="1:13" ht="32">
      <c r="A12" s="1" t="s">
        <v>24</v>
      </c>
      <c r="B12" s="1" t="s">
        <v>720</v>
      </c>
      <c r="C12" s="1" t="s">
        <v>729</v>
      </c>
      <c r="D12" s="1" t="s">
        <v>731</v>
      </c>
      <c r="E12" s="1" t="s">
        <v>723</v>
      </c>
      <c r="F12" s="1">
        <v>-214</v>
      </c>
      <c r="G12" s="1">
        <v>20</v>
      </c>
      <c r="H12" s="1">
        <v>6</v>
      </c>
      <c r="I12" s="1">
        <v>-214</v>
      </c>
      <c r="J12" s="1">
        <v>19</v>
      </c>
      <c r="K12" s="1">
        <v>6</v>
      </c>
      <c r="L12" s="1" t="s">
        <v>365</v>
      </c>
      <c r="M12" s="1" t="s">
        <v>366</v>
      </c>
    </row>
    <row r="13" spans="1:13" ht="32">
      <c r="A13" s="1" t="s">
        <v>24</v>
      </c>
      <c r="B13" s="1" t="s">
        <v>720</v>
      </c>
      <c r="C13" s="1" t="s">
        <v>729</v>
      </c>
      <c r="D13" s="1" t="s">
        <v>731</v>
      </c>
      <c r="E13" s="1" t="s">
        <v>724</v>
      </c>
      <c r="F13" s="1">
        <v>-207</v>
      </c>
      <c r="G13" s="1">
        <v>5</v>
      </c>
      <c r="H13" s="1">
        <v>3</v>
      </c>
      <c r="I13" s="1">
        <v>-205</v>
      </c>
      <c r="J13" s="1">
        <v>7</v>
      </c>
      <c r="K13" s="1">
        <v>3</v>
      </c>
      <c r="L13" s="1" t="s">
        <v>365</v>
      </c>
      <c r="M13" s="1" t="s">
        <v>366</v>
      </c>
    </row>
    <row r="14" spans="1:13" ht="32">
      <c r="A14" s="1" t="s">
        <v>24</v>
      </c>
      <c r="B14" s="1" t="s">
        <v>720</v>
      </c>
      <c r="C14" s="1" t="s">
        <v>729</v>
      </c>
      <c r="D14" s="1" t="s">
        <v>732</v>
      </c>
      <c r="E14" s="1" t="s">
        <v>723</v>
      </c>
      <c r="F14" s="1">
        <v>-168</v>
      </c>
      <c r="G14" s="1">
        <v>3</v>
      </c>
      <c r="H14" s="1">
        <v>6</v>
      </c>
      <c r="I14" s="1">
        <v>-165</v>
      </c>
      <c r="J14" s="1">
        <v>3</v>
      </c>
      <c r="K14" s="1">
        <v>6</v>
      </c>
      <c r="L14" s="1" t="s">
        <v>365</v>
      </c>
      <c r="M14" s="1" t="s">
        <v>366</v>
      </c>
    </row>
    <row r="15" spans="1:13" ht="32">
      <c r="A15" s="1" t="s">
        <v>24</v>
      </c>
      <c r="B15" s="1" t="s">
        <v>720</v>
      </c>
      <c r="C15" s="1" t="s">
        <v>729</v>
      </c>
      <c r="D15" s="1" t="s">
        <v>732</v>
      </c>
      <c r="E15" s="1" t="s">
        <v>724</v>
      </c>
      <c r="F15" s="1">
        <v>-168</v>
      </c>
      <c r="G15" s="1">
        <v>7</v>
      </c>
      <c r="H15" s="1">
        <v>6</v>
      </c>
      <c r="I15" s="1">
        <v>-155</v>
      </c>
      <c r="J15" s="1">
        <v>9</v>
      </c>
      <c r="K15" s="1">
        <v>6</v>
      </c>
      <c r="L15" s="1" t="s">
        <v>365</v>
      </c>
      <c r="M15" s="1" t="s">
        <v>366</v>
      </c>
    </row>
    <row r="16" spans="1:13" ht="32">
      <c r="A16" s="1" t="s">
        <v>24</v>
      </c>
      <c r="B16" s="1" t="s">
        <v>720</v>
      </c>
      <c r="C16" s="1" t="s">
        <v>729</v>
      </c>
      <c r="D16" s="1" t="s">
        <v>733</v>
      </c>
      <c r="E16" s="1" t="s">
        <v>723</v>
      </c>
      <c r="F16" s="1">
        <v>-140</v>
      </c>
      <c r="G16" s="1">
        <v>8</v>
      </c>
      <c r="H16" s="1">
        <v>3</v>
      </c>
      <c r="I16" s="1">
        <v>-153</v>
      </c>
      <c r="J16" s="1">
        <v>20</v>
      </c>
      <c r="K16" s="1">
        <v>3</v>
      </c>
      <c r="L16" s="1" t="s">
        <v>365</v>
      </c>
      <c r="M16" s="1" t="s">
        <v>366</v>
      </c>
    </row>
    <row r="17" spans="1:13" ht="32">
      <c r="A17" s="1" t="s">
        <v>24</v>
      </c>
      <c r="B17" s="1" t="s">
        <v>720</v>
      </c>
      <c r="C17" s="1" t="s">
        <v>729</v>
      </c>
      <c r="D17" s="1" t="s">
        <v>733</v>
      </c>
      <c r="E17" s="1" t="s">
        <v>724</v>
      </c>
      <c r="F17" s="1">
        <v>-196</v>
      </c>
      <c r="G17" s="1">
        <v>6</v>
      </c>
      <c r="H17" s="1">
        <v>3</v>
      </c>
      <c r="I17" s="1">
        <v>-200</v>
      </c>
      <c r="J17" s="1">
        <v>6</v>
      </c>
      <c r="K17" s="1">
        <v>3</v>
      </c>
      <c r="L17" s="1" t="s">
        <v>365</v>
      </c>
      <c r="M17" s="1" t="s">
        <v>366</v>
      </c>
    </row>
    <row r="18" spans="1:13" ht="32">
      <c r="A18" s="1" t="s">
        <v>24</v>
      </c>
      <c r="B18" s="1" t="s">
        <v>720</v>
      </c>
      <c r="C18" s="1" t="s">
        <v>729</v>
      </c>
      <c r="D18" s="1" t="s">
        <v>734</v>
      </c>
      <c r="E18" s="1" t="s">
        <v>723</v>
      </c>
      <c r="F18" s="1">
        <v>-172</v>
      </c>
      <c r="G18" s="1">
        <v>8</v>
      </c>
      <c r="H18" s="1">
        <v>6</v>
      </c>
      <c r="I18" s="1">
        <v>-164</v>
      </c>
      <c r="J18" s="1">
        <v>7</v>
      </c>
      <c r="K18" s="1">
        <v>6</v>
      </c>
      <c r="L18" s="1" t="s">
        <v>365</v>
      </c>
      <c r="M18" s="1" t="s">
        <v>366</v>
      </c>
    </row>
    <row r="19" spans="1:13" ht="32">
      <c r="A19" s="1" t="s">
        <v>24</v>
      </c>
      <c r="B19" s="1" t="s">
        <v>720</v>
      </c>
      <c r="C19" s="1" t="s">
        <v>729</v>
      </c>
      <c r="D19" s="1" t="s">
        <v>734</v>
      </c>
      <c r="E19" s="1" t="s">
        <v>724</v>
      </c>
      <c r="F19" s="1">
        <v>-169</v>
      </c>
      <c r="G19" s="1">
        <v>5</v>
      </c>
      <c r="H19" s="1">
        <v>3</v>
      </c>
      <c r="I19" s="1">
        <v>-156</v>
      </c>
      <c r="J19" s="1">
        <v>3</v>
      </c>
      <c r="K19" s="1">
        <v>3</v>
      </c>
      <c r="L19" s="1" t="s">
        <v>365</v>
      </c>
      <c r="M19" s="1" t="s">
        <v>366</v>
      </c>
    </row>
    <row r="20" spans="1:13" ht="32">
      <c r="A20" s="1" t="s">
        <v>24</v>
      </c>
      <c r="B20" s="1" t="s">
        <v>720</v>
      </c>
      <c r="C20" s="1" t="s">
        <v>735</v>
      </c>
      <c r="D20" s="1" t="s">
        <v>736</v>
      </c>
      <c r="E20" s="1" t="s">
        <v>723</v>
      </c>
      <c r="F20" s="1">
        <v>-145</v>
      </c>
      <c r="G20" s="1">
        <v>5</v>
      </c>
      <c r="H20" s="1">
        <v>3</v>
      </c>
      <c r="I20" s="1">
        <v>-146</v>
      </c>
      <c r="J20" s="1">
        <v>5</v>
      </c>
      <c r="K20" s="1">
        <v>3</v>
      </c>
      <c r="L20" s="1" t="s">
        <v>365</v>
      </c>
      <c r="M20" s="1" t="s">
        <v>366</v>
      </c>
    </row>
    <row r="21" spans="1:13" ht="32">
      <c r="A21" s="1" t="s">
        <v>24</v>
      </c>
      <c r="B21" s="1" t="s">
        <v>720</v>
      </c>
      <c r="C21" s="1" t="s">
        <v>735</v>
      </c>
      <c r="D21" s="1" t="s">
        <v>736</v>
      </c>
      <c r="E21" s="1" t="s">
        <v>724</v>
      </c>
      <c r="F21" s="1">
        <v>-119</v>
      </c>
      <c r="G21" s="1">
        <v>16</v>
      </c>
      <c r="H21" s="1">
        <v>8</v>
      </c>
      <c r="I21" s="1">
        <v>-109</v>
      </c>
      <c r="J21" s="1">
        <v>25</v>
      </c>
      <c r="K21" s="1">
        <v>7</v>
      </c>
      <c r="L21" s="1" t="s">
        <v>365</v>
      </c>
      <c r="M21" s="1" t="s">
        <v>366</v>
      </c>
    </row>
    <row r="22" spans="1:13" ht="32">
      <c r="A22" s="1" t="s">
        <v>24</v>
      </c>
      <c r="B22" s="1" t="s">
        <v>720</v>
      </c>
      <c r="C22" s="1" t="s">
        <v>737</v>
      </c>
      <c r="D22" s="1" t="s">
        <v>738</v>
      </c>
      <c r="E22" s="1" t="s">
        <v>723</v>
      </c>
      <c r="F22" s="1">
        <v>-123</v>
      </c>
      <c r="G22" s="1">
        <v>8</v>
      </c>
      <c r="H22" s="1">
        <v>3</v>
      </c>
      <c r="I22" s="1">
        <v>-126</v>
      </c>
      <c r="J22" s="1">
        <v>7</v>
      </c>
      <c r="K22" s="1">
        <v>3</v>
      </c>
      <c r="L22" s="1" t="s">
        <v>365</v>
      </c>
      <c r="M22" s="1" t="s">
        <v>366</v>
      </c>
    </row>
    <row r="23" spans="1:13" ht="32">
      <c r="A23" s="1" t="s">
        <v>24</v>
      </c>
      <c r="B23" s="1" t="s">
        <v>720</v>
      </c>
      <c r="C23" s="1" t="s">
        <v>739</v>
      </c>
      <c r="D23" s="1" t="s">
        <v>740</v>
      </c>
      <c r="E23" s="1" t="s">
        <v>724</v>
      </c>
      <c r="F23" s="1">
        <v>-119</v>
      </c>
      <c r="G23" s="1">
        <v>8</v>
      </c>
      <c r="H23" s="1">
        <v>3</v>
      </c>
      <c r="I23" s="1">
        <v>-121</v>
      </c>
      <c r="J23" s="1">
        <v>9</v>
      </c>
      <c r="K23" s="1">
        <v>3</v>
      </c>
      <c r="L23" s="1" t="s">
        <v>365</v>
      </c>
      <c r="M23" s="1" t="s">
        <v>366</v>
      </c>
    </row>
    <row r="24" spans="1:13" ht="32">
      <c r="A24" s="1" t="s">
        <v>24</v>
      </c>
      <c r="B24" s="1" t="s">
        <v>741</v>
      </c>
      <c r="C24" s="1" t="s">
        <v>729</v>
      </c>
      <c r="D24" s="1" t="s">
        <v>732</v>
      </c>
      <c r="E24" s="1" t="s">
        <v>723</v>
      </c>
      <c r="F24" s="1">
        <v>-162</v>
      </c>
      <c r="G24" s="1">
        <v>8</v>
      </c>
      <c r="H24" s="1">
        <v>3</v>
      </c>
      <c r="I24" s="1">
        <v>-162</v>
      </c>
      <c r="J24" s="1">
        <v>8</v>
      </c>
      <c r="K24" s="1">
        <v>3</v>
      </c>
      <c r="L24" s="1" t="s">
        <v>365</v>
      </c>
      <c r="M24" s="1" t="s">
        <v>366</v>
      </c>
    </row>
    <row r="25" spans="1:13" ht="32">
      <c r="A25" s="1" t="s">
        <v>24</v>
      </c>
      <c r="B25" s="1" t="s">
        <v>741</v>
      </c>
      <c r="C25" s="1" t="s">
        <v>729</v>
      </c>
      <c r="D25" s="1" t="s">
        <v>732</v>
      </c>
      <c r="E25" s="1" t="s">
        <v>724</v>
      </c>
      <c r="F25" s="1">
        <v>-144</v>
      </c>
      <c r="G25" s="1">
        <v>8</v>
      </c>
      <c r="H25" s="1">
        <v>3</v>
      </c>
      <c r="I25" s="1">
        <v>-141</v>
      </c>
      <c r="J25" s="1">
        <v>7</v>
      </c>
      <c r="K25" s="1">
        <v>3</v>
      </c>
      <c r="L25" s="1" t="s">
        <v>365</v>
      </c>
      <c r="M25" s="1" t="s">
        <v>366</v>
      </c>
    </row>
    <row r="26" spans="1:13" ht="32">
      <c r="A26" s="1" t="s">
        <v>24</v>
      </c>
      <c r="B26" s="1" t="s">
        <v>741</v>
      </c>
      <c r="C26" s="1" t="s">
        <v>729</v>
      </c>
      <c r="D26" s="1" t="s">
        <v>733</v>
      </c>
      <c r="E26" s="1" t="s">
        <v>723</v>
      </c>
      <c r="F26" s="1">
        <v>-129</v>
      </c>
      <c r="G26" s="1">
        <v>20</v>
      </c>
      <c r="H26" s="1">
        <v>3</v>
      </c>
      <c r="I26" s="1">
        <v>-145</v>
      </c>
      <c r="J26" s="1">
        <v>7</v>
      </c>
      <c r="K26" s="1">
        <v>3</v>
      </c>
      <c r="L26" s="1" t="s">
        <v>365</v>
      </c>
      <c r="M26" s="1" t="s">
        <v>366</v>
      </c>
    </row>
    <row r="27" spans="1:13" ht="32">
      <c r="A27" s="1" t="s">
        <v>24</v>
      </c>
      <c r="B27" s="1" t="s">
        <v>741</v>
      </c>
      <c r="C27" s="1" t="s">
        <v>729</v>
      </c>
      <c r="D27" s="1" t="s">
        <v>734</v>
      </c>
      <c r="E27" s="1" t="s">
        <v>723</v>
      </c>
      <c r="F27" s="1">
        <v>-167</v>
      </c>
      <c r="G27" s="1">
        <v>15</v>
      </c>
      <c r="H27" s="1">
        <v>3</v>
      </c>
      <c r="I27" s="1">
        <v>-163</v>
      </c>
      <c r="J27" s="1">
        <v>16</v>
      </c>
      <c r="K27" s="1">
        <v>3</v>
      </c>
      <c r="L27" s="1" t="s">
        <v>365</v>
      </c>
      <c r="M27" s="1" t="s">
        <v>366</v>
      </c>
    </row>
    <row r="28" spans="1:13" ht="32">
      <c r="A28" s="1" t="s">
        <v>24</v>
      </c>
      <c r="B28" s="1" t="s">
        <v>741</v>
      </c>
      <c r="C28" s="1" t="s">
        <v>735</v>
      </c>
      <c r="D28" s="1" t="s">
        <v>736</v>
      </c>
      <c r="E28" s="1" t="s">
        <v>723</v>
      </c>
      <c r="F28" s="1">
        <v>-142</v>
      </c>
      <c r="G28" s="1">
        <v>2</v>
      </c>
      <c r="H28" s="1">
        <v>3</v>
      </c>
      <c r="I28" s="1">
        <v>-138</v>
      </c>
      <c r="J28" s="1">
        <v>4</v>
      </c>
      <c r="K28" s="1">
        <v>3</v>
      </c>
      <c r="L28" s="1" t="s">
        <v>365</v>
      </c>
      <c r="M28" s="1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Gao2014_Samples</vt:lpstr>
      <vt:lpstr>Tipple2015_Treatments</vt:lpstr>
      <vt:lpstr>Literature_Targets</vt:lpstr>
      <vt:lpstr>Study_Registry</vt:lpstr>
      <vt:lpstr>Data_Dictionary</vt:lpstr>
      <vt:lpstr>Liu2016_Segmented</vt:lpstr>
      <vt:lpstr>Liu2016_WholeLeaf</vt:lpstr>
      <vt:lpstr>Tipple2021_PANGAEA</vt:lpstr>
      <vt:lpstr>Ardenghi2024_Epsilon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Watanabe Traphagan</cp:lastModifiedBy>
  <dcterms:created xsi:type="dcterms:W3CDTF">2026-09-26T15:05:39Z</dcterms:created>
  <dcterms:modified xsi:type="dcterms:W3CDTF">2026-10-01T09:16:49Z</dcterms:modified>
</cp:coreProperties>
</file>